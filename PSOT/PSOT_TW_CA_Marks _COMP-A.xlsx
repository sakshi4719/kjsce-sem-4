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 MARKS" sheetId="1" r:id="rId4"/>
    <sheet state="visible" name="CA MARKS" sheetId="2" r:id="rId5"/>
  </sheets>
  <definedNames/>
  <calcPr/>
  <extLst>
    <ext uri="GoogleSheetsCustomDataVersion2">
      <go:sheetsCustomData xmlns:go="http://customooxmlschemas.google.com/" r:id="rId6" roundtripDataChecksum="pvRnf1huXlTnw5AcgkclDNcu9568UKJO32FZ8SrHa2s="/>
    </ext>
  </extLst>
</workbook>
</file>

<file path=xl/sharedStrings.xml><?xml version="1.0" encoding="utf-8"?>
<sst xmlns="http://schemas.openxmlformats.org/spreadsheetml/2006/main" count="172" uniqueCount="104">
  <si>
    <t>K.J. Somaiya College of Engineering</t>
  </si>
  <si>
    <t>( A constituent college of Somaiya Vidyavihar University)</t>
  </si>
  <si>
    <t>SY COMP  DIV-A  2023-24</t>
  </si>
  <si>
    <t>TERM-WORK marks - PSOT</t>
  </si>
  <si>
    <t>Max marks</t>
  </si>
  <si>
    <t xml:space="preserve">Sr. no. </t>
  </si>
  <si>
    <t>Roll no.</t>
  </si>
  <si>
    <t>Name</t>
  </si>
  <si>
    <t>Tut-1</t>
  </si>
  <si>
    <t>tut-2</t>
  </si>
  <si>
    <t>Tut-3</t>
  </si>
  <si>
    <t>Tut-4</t>
  </si>
  <si>
    <t>Tut-5</t>
  </si>
  <si>
    <t>Tut-6</t>
  </si>
  <si>
    <t>Tut-7</t>
  </si>
  <si>
    <t>Tut-8</t>
  </si>
  <si>
    <t>TUT-9</t>
  </si>
  <si>
    <t>TUT-10</t>
  </si>
  <si>
    <t>Tut-11</t>
  </si>
  <si>
    <t>Avarage</t>
  </si>
  <si>
    <t>R- Correlation and Regression</t>
  </si>
  <si>
    <t>Written - Correlation and Regression</t>
  </si>
  <si>
    <t>Quiz- Baye's Theorem and Prob Distribution</t>
  </si>
  <si>
    <t>R- Probability Distribution</t>
  </si>
  <si>
    <t>Written - Probability Distribution</t>
  </si>
  <si>
    <t>R- Sampling</t>
  </si>
  <si>
    <t>Written -Sampling</t>
  </si>
  <si>
    <t xml:space="preserve">Quiz - Small sample and Chi square </t>
  </si>
  <si>
    <t>Written - LPP</t>
  </si>
  <si>
    <t>Quiz - NLPP</t>
  </si>
  <si>
    <t>Quiz - Queuing Theory</t>
  </si>
  <si>
    <t>Aaditya Padmanabhan</t>
  </si>
  <si>
    <t>Acharya Chinmay</t>
  </si>
  <si>
    <t>Agrawal Rishabh Manish</t>
  </si>
  <si>
    <t>Agrawal Shruti</t>
  </si>
  <si>
    <t>Ansari Huzaifa Ashraf Ali</t>
  </si>
  <si>
    <t>Bajani Hridayansh Priyank</t>
  </si>
  <si>
    <t>Bakshi Pranav Aniruddha</t>
  </si>
  <si>
    <t>Banerjee Rishika Ranjan</t>
  </si>
  <si>
    <t>Batham Prathmesh</t>
  </si>
  <si>
    <t>Bhadra Kaushal</t>
  </si>
  <si>
    <t>Bhalbar Sanika Pundalik</t>
  </si>
  <si>
    <t>Bhambhra Manas Mahesh</t>
  </si>
  <si>
    <t>Bhansali Nidhi Devarshi</t>
  </si>
  <si>
    <t>Bhanushali Parth Rajesh</t>
  </si>
  <si>
    <t>Bhanushali Yash Kishor</t>
  </si>
  <si>
    <t>Bhavsar Nishiel Mihir</t>
  </si>
  <si>
    <t>Bhutada Soham Ravikumar</t>
  </si>
  <si>
    <t>Champanerkar Parth Atul</t>
  </si>
  <si>
    <t>Chandak Krishna Purshottam</t>
  </si>
  <si>
    <t>Charpe Gauri</t>
  </si>
  <si>
    <t>Chaudhari Medhaj Gajanan</t>
  </si>
  <si>
    <t>Chaurasia Shubham Keshav</t>
  </si>
  <si>
    <t>Chheda Pranav Jiten</t>
  </si>
  <si>
    <t>Choudhary Abhinav Anil</t>
  </si>
  <si>
    <t>Chowdhari Partha Rajesh</t>
  </si>
  <si>
    <t>Chowdhary Peeth</t>
  </si>
  <si>
    <t>Dang Devansh</t>
  </si>
  <si>
    <t>Dangle Vipul Ashish</t>
  </si>
  <si>
    <t>Desai Dhruv Bhushan</t>
  </si>
  <si>
    <t>Desai Rishil Dharmendra</t>
  </si>
  <si>
    <t>Deshpande Rohit Sattendra</t>
  </si>
  <si>
    <t>Dhake Ved Milind</t>
  </si>
  <si>
    <t>Dhamale Arya Ramesh</t>
  </si>
  <si>
    <t>Dhywershetty Soumil Sanjoo</t>
  </si>
  <si>
    <t>Doshi Tanay Bhavesh</t>
  </si>
  <si>
    <t>Duggal Indervir Singh Singh</t>
  </si>
  <si>
    <t>Dumbre Mayur Vijay</t>
  </si>
  <si>
    <t>Gada Jeet Ketan</t>
  </si>
  <si>
    <t>Gandhi Hriday</t>
  </si>
  <si>
    <t>Gatkal Shubham Santosh</t>
  </si>
  <si>
    <t>Ghatkar Ashish Dilip</t>
  </si>
  <si>
    <t>Ghauri Zayaan</t>
  </si>
  <si>
    <t>Girdhar Daksh</t>
  </si>
  <si>
    <t>Gohil Kunj Kishor</t>
  </si>
  <si>
    <t>Gujarati Kush Rajesh</t>
  </si>
  <si>
    <t>Hingad Mahi Chandu Kumar</t>
  </si>
  <si>
    <t>Irani Farzan Aflatoon</t>
  </si>
  <si>
    <t>Jain Esha Ravi</t>
  </si>
  <si>
    <t>Jain Nilansh Anand</t>
  </si>
  <si>
    <t>Jain Ridham Nitesh</t>
  </si>
  <si>
    <t>Jain Vivan Hitesh</t>
  </si>
  <si>
    <t>Jalui Shubh Sudipto</t>
  </si>
  <si>
    <t>Joshi Avnish</t>
  </si>
  <si>
    <t>Joshi Eeshanya Amit</t>
  </si>
  <si>
    <t>Joshi Raahi Vishal</t>
  </si>
  <si>
    <t>Juneja Rhythm</t>
  </si>
  <si>
    <t>Kakar Aditya Sandeep</t>
  </si>
  <si>
    <t>Kale Namit Yashwant</t>
  </si>
  <si>
    <t>Kansagra Parth Vipulbhai</t>
  </si>
  <si>
    <t>Kapadia Krish Amit</t>
  </si>
  <si>
    <t>Karia Minav Prakash</t>
  </si>
  <si>
    <t>Karpe Atharva Hemant</t>
  </si>
  <si>
    <t>SY COMP-A 2023-24</t>
  </si>
  <si>
    <t>CA marks - PSOT</t>
  </si>
  <si>
    <t>IA-2    20</t>
  </si>
  <si>
    <t>IA-1</t>
  </si>
  <si>
    <t>Attendance (5)</t>
  </si>
  <si>
    <t>Notes (5)</t>
  </si>
  <si>
    <t>Viva (10)</t>
  </si>
  <si>
    <t>Total</t>
  </si>
  <si>
    <t>Avarage _IA</t>
  </si>
  <si>
    <t>ISE</t>
  </si>
  <si>
    <t>Total_CA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</si>
</sst>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theme="5"/>
      <name val="Arial"/>
    </font>
    <font>
      <b/>
      <color theme="1"/>
      <name val="Arial"/>
    </font>
    <font>
      <sz val="12.0"/>
      <color theme="1"/>
      <name val="Times New Roman"/>
    </font>
    <font>
      <color rgb="FF000000"/>
      <name val="Arial"/>
    </font>
    <font>
      <color theme="1"/>
      <name val="Arial"/>
    </font>
    <font>
      <sz val="12.0"/>
      <color rgb="FFFF0000"/>
      <name val="Arial"/>
    </font>
    <font>
      <b/>
      <sz val="12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4" fillId="0" fontId="6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shrinkToFit="0" wrapText="1"/>
    </xf>
    <xf borderId="4" fillId="2" fontId="3" numFmtId="0" xfId="0" applyAlignment="1" applyBorder="1" applyFill="1" applyFont="1">
      <alignment horizontal="center"/>
    </xf>
    <xf borderId="4" fillId="2" fontId="7" numFmtId="0" xfId="0" applyAlignment="1" applyBorder="1" applyFont="1">
      <alignment horizontal="center"/>
    </xf>
    <xf borderId="3" fillId="2" fontId="7" numFmtId="0" xfId="0" applyBorder="1" applyFont="1"/>
    <xf borderId="4" fillId="2" fontId="8" numFmtId="4" xfId="0" applyAlignment="1" applyBorder="1" applyFont="1" applyNumberFormat="1">
      <alignment horizontal="center" readingOrder="0" shrinkToFit="0" vertical="bottom" wrapText="0"/>
    </xf>
    <xf borderId="4" fillId="2" fontId="7" numFmtId="4" xfId="0" applyAlignment="1" applyBorder="1" applyFont="1" applyNumberFormat="1">
      <alignment horizontal="center" readingOrder="0"/>
    </xf>
    <xf borderId="4" fillId="2" fontId="9" numFmtId="4" xfId="0" applyAlignment="1" applyBorder="1" applyFont="1" applyNumberFormat="1">
      <alignment horizontal="center" readingOrder="0"/>
    </xf>
    <xf borderId="4" fillId="2" fontId="10" numFmtId="1" xfId="0" applyAlignment="1" applyBorder="1" applyFont="1" applyNumberFormat="1">
      <alignment horizontal="center"/>
    </xf>
    <xf borderId="6" fillId="2" fontId="7" numFmtId="0" xfId="0" applyAlignment="1" applyBorder="1" applyFont="1">
      <alignment horizontal="center"/>
    </xf>
    <xf borderId="7" fillId="2" fontId="7" numFmtId="0" xfId="0" applyBorder="1" applyFont="1"/>
    <xf borderId="6" fillId="2" fontId="7" numFmtId="4" xfId="0" applyAlignment="1" applyBorder="1" applyFont="1" applyNumberFormat="1">
      <alignment horizontal="center" readingOrder="0"/>
    </xf>
    <xf borderId="4" fillId="3" fontId="8" numFmtId="4" xfId="0" applyAlignment="1" applyBorder="1" applyFill="1" applyFont="1" applyNumberFormat="1">
      <alignment horizontal="center" readingOrder="0" shrinkToFit="0" vertical="bottom" wrapText="0"/>
    </xf>
    <xf borderId="4" fillId="4" fontId="8" numFmtId="4" xfId="0" applyAlignment="1" applyBorder="1" applyFill="1" applyFont="1" applyNumberFormat="1">
      <alignment horizontal="center" readingOrder="0" shrinkToFit="0" vertical="bottom" wrapText="0"/>
    </xf>
    <xf borderId="6" fillId="4" fontId="7" numFmtId="4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horizontal="center" readingOrder="0"/>
    </xf>
    <xf borderId="4" fillId="5" fontId="3" numFmtId="0" xfId="0" applyAlignment="1" applyBorder="1" applyFill="1" applyFont="1">
      <alignment horizontal="center"/>
    </xf>
    <xf borderId="6" fillId="5" fontId="7" numFmtId="0" xfId="0" applyAlignment="1" applyBorder="1" applyFont="1">
      <alignment horizontal="center"/>
    </xf>
    <xf borderId="7" fillId="5" fontId="7" numFmtId="0" xfId="0" applyBorder="1" applyFont="1"/>
    <xf borderId="4" fillId="5" fontId="8" numFmtId="4" xfId="0" applyAlignment="1" applyBorder="1" applyFont="1" applyNumberFormat="1">
      <alignment horizontal="center" readingOrder="0" shrinkToFit="0" vertical="bottom" wrapText="0"/>
    </xf>
    <xf borderId="4" fillId="5" fontId="7" numFmtId="4" xfId="0" applyAlignment="1" applyBorder="1" applyFont="1" applyNumberFormat="1">
      <alignment horizontal="center" readingOrder="0"/>
    </xf>
    <xf borderId="4" fillId="5" fontId="10" numFmtId="1" xfId="0" applyAlignment="1" applyBorder="1" applyFont="1" applyNumberFormat="1">
      <alignment horizontal="center"/>
    </xf>
    <xf borderId="6" fillId="5" fontId="7" numFmtId="0" xfId="0" applyAlignment="1" applyBorder="1" applyFont="1">
      <alignment horizontal="center" shrinkToFit="0" wrapText="1"/>
    </xf>
    <xf borderId="7" fillId="5" fontId="7" numFmtId="0" xfId="0" applyAlignment="1" applyBorder="1" applyFont="1">
      <alignment shrinkToFit="0" wrapText="1"/>
    </xf>
    <xf borderId="6" fillId="5" fontId="7" numFmtId="4" xfId="0" applyAlignment="1" applyBorder="1" applyFont="1" applyNumberFormat="1">
      <alignment horizontal="center" readingOrder="0"/>
    </xf>
    <xf borderId="6" fillId="3" fontId="7" numFmtId="4" xfId="0" applyAlignment="1" applyBorder="1" applyFont="1" applyNumberFormat="1">
      <alignment horizontal="center" readingOrder="0"/>
    </xf>
    <xf borderId="4" fillId="5" fontId="9" numFmtId="4" xfId="0" applyAlignment="1" applyBorder="1" applyFont="1" applyNumberFormat="1">
      <alignment horizontal="center" readingOrder="0" shrinkToFit="0" vertical="bottom" wrapText="0"/>
    </xf>
    <xf borderId="4" fillId="6" fontId="3" numFmtId="0" xfId="0" applyAlignment="1" applyBorder="1" applyFill="1" applyFont="1">
      <alignment horizontal="center"/>
    </xf>
    <xf borderId="6" fillId="6" fontId="7" numFmtId="0" xfId="0" applyAlignment="1" applyBorder="1" applyFont="1">
      <alignment horizontal="center"/>
    </xf>
    <xf borderId="7" fillId="6" fontId="7" numFmtId="0" xfId="0" applyBorder="1" applyFont="1"/>
    <xf borderId="4" fillId="6" fontId="8" numFmtId="4" xfId="0" applyAlignment="1" applyBorder="1" applyFont="1" applyNumberFormat="1">
      <alignment horizontal="center" readingOrder="0" shrinkToFit="0" vertical="bottom" wrapText="0"/>
    </xf>
    <xf borderId="4" fillId="6" fontId="7" numFmtId="4" xfId="0" applyAlignment="1" applyBorder="1" applyFont="1" applyNumberFormat="1">
      <alignment horizontal="center" readingOrder="0"/>
    </xf>
    <xf borderId="4" fillId="6" fontId="10" numFmtId="1" xfId="0" applyAlignment="1" applyBorder="1" applyFont="1" applyNumberFormat="1">
      <alignment horizontal="center"/>
    </xf>
    <xf borderId="6" fillId="6" fontId="7" numFmtId="4" xfId="0" applyAlignment="1" applyBorder="1" applyFont="1" applyNumberFormat="1">
      <alignment horizontal="center" readingOrder="0"/>
    </xf>
    <xf borderId="4" fillId="6" fontId="9" numFmtId="0" xfId="0" applyAlignment="1" applyBorder="1" applyFont="1">
      <alignment horizontal="center"/>
    </xf>
    <xf borderId="4" fillId="6" fontId="9" numFmtId="4" xfId="0" applyAlignment="1" applyBorder="1" applyFont="1" applyNumberFormat="1">
      <alignment horizontal="center" readingOrder="0"/>
    </xf>
    <xf borderId="4" fillId="3" fontId="9" numFmtId="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/>
    </xf>
    <xf borderId="3" fillId="0" fontId="7" numFmtId="0" xfId="0" applyBorder="1" applyFont="1"/>
    <xf borderId="4" fillId="0" fontId="9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shrinkToFit="0" wrapText="0"/>
    </xf>
    <xf borderId="4" fillId="0" fontId="3" numFmtId="0" xfId="0" applyBorder="1" applyFont="1"/>
    <xf borderId="6" fillId="0" fontId="7" numFmtId="0" xfId="0" applyAlignment="1" applyBorder="1" applyFont="1">
      <alignment horizontal="center"/>
    </xf>
    <xf borderId="7" fillId="0" fontId="7" numFmtId="0" xfId="0" applyBorder="1" applyFont="1"/>
    <xf borderId="4" fillId="0" fontId="8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5.13"/>
    <col customWidth="1" min="3" max="3" width="33.38"/>
    <col customWidth="1" min="15" max="15" width="13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15.7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ht="15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</row>
    <row r="5" ht="15.75" customHeight="1">
      <c r="A5" s="5"/>
      <c r="B5" s="5"/>
      <c r="C5" s="6" t="s">
        <v>4</v>
      </c>
      <c r="D5" s="6">
        <v>25.0</v>
      </c>
      <c r="E5" s="6">
        <v>25.0</v>
      </c>
      <c r="F5" s="6">
        <v>25.0</v>
      </c>
      <c r="G5" s="6">
        <v>25.0</v>
      </c>
      <c r="H5" s="6">
        <v>25.0</v>
      </c>
      <c r="I5" s="6">
        <v>25.0</v>
      </c>
      <c r="J5" s="6">
        <v>25.0</v>
      </c>
      <c r="K5" s="6">
        <v>25.0</v>
      </c>
      <c r="L5" s="6">
        <v>25.0</v>
      </c>
      <c r="M5" s="6">
        <v>25.0</v>
      </c>
      <c r="N5" s="7">
        <v>25.0</v>
      </c>
      <c r="O5" s="8">
        <v>25.0</v>
      </c>
    </row>
    <row r="6" ht="15.75" customHeight="1">
      <c r="A6" s="5" t="s">
        <v>5</v>
      </c>
      <c r="B6" s="5" t="s">
        <v>6</v>
      </c>
      <c r="C6" s="6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10" t="s">
        <v>18</v>
      </c>
      <c r="O6" s="8" t="s">
        <v>19</v>
      </c>
    </row>
    <row r="7">
      <c r="A7" s="5"/>
      <c r="B7" s="11"/>
      <c r="C7" s="12"/>
      <c r="D7" s="13" t="s">
        <v>20</v>
      </c>
      <c r="E7" s="14" t="s">
        <v>21</v>
      </c>
      <c r="F7" s="13" t="s">
        <v>22</v>
      </c>
      <c r="G7" s="13" t="s">
        <v>23</v>
      </c>
      <c r="H7" s="15" t="s">
        <v>24</v>
      </c>
      <c r="I7" s="16" t="s">
        <v>25</v>
      </c>
      <c r="J7" s="16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8"/>
    </row>
    <row r="8" ht="15.75" customHeight="1">
      <c r="A8" s="18">
        <v>1.0</v>
      </c>
      <c r="B8" s="19">
        <v>1.6010122001E10</v>
      </c>
      <c r="C8" s="20" t="s">
        <v>31</v>
      </c>
      <c r="D8" s="21">
        <v>25.0</v>
      </c>
      <c r="E8" s="22">
        <v>23.0</v>
      </c>
      <c r="F8" s="23">
        <v>21.0</v>
      </c>
      <c r="G8" s="23">
        <v>23.0</v>
      </c>
      <c r="H8" s="23">
        <v>22.0</v>
      </c>
      <c r="I8" s="23">
        <v>25.0</v>
      </c>
      <c r="J8" s="21">
        <v>24.0</v>
      </c>
      <c r="K8" s="21">
        <v>18.0</v>
      </c>
      <c r="L8" s="21">
        <v>22.0</v>
      </c>
      <c r="M8" s="21">
        <v>16.0</v>
      </c>
      <c r="N8" s="21">
        <v>22.75</v>
      </c>
      <c r="O8" s="24">
        <f t="shared" ref="O8:O69" si="1">ceiling(AVERAGE(D8:N8),1)</f>
        <v>22</v>
      </c>
    </row>
    <row r="9" ht="15.75" customHeight="1">
      <c r="A9" s="18">
        <v>2.0</v>
      </c>
      <c r="B9" s="25">
        <v>1.6010122002E10</v>
      </c>
      <c r="C9" s="26" t="s">
        <v>32</v>
      </c>
      <c r="D9" s="21">
        <v>25.0</v>
      </c>
      <c r="E9" s="27">
        <v>23.0</v>
      </c>
      <c r="F9" s="21">
        <v>20.0</v>
      </c>
      <c r="G9" s="21">
        <v>25.0</v>
      </c>
      <c r="H9" s="21">
        <v>23.0</v>
      </c>
      <c r="I9" s="21">
        <v>25.0</v>
      </c>
      <c r="J9" s="21">
        <v>24.0</v>
      </c>
      <c r="K9" s="21">
        <v>25.0</v>
      </c>
      <c r="L9" s="21">
        <v>21.0</v>
      </c>
      <c r="M9" s="21">
        <v>21.0</v>
      </c>
      <c r="N9" s="21">
        <v>0.0</v>
      </c>
      <c r="O9" s="24">
        <f t="shared" si="1"/>
        <v>22</v>
      </c>
    </row>
    <row r="10" ht="15.75" customHeight="1">
      <c r="A10" s="18">
        <v>3.0</v>
      </c>
      <c r="B10" s="25">
        <v>1.6010122004E10</v>
      </c>
      <c r="C10" s="26" t="s">
        <v>33</v>
      </c>
      <c r="D10" s="21">
        <v>25.0</v>
      </c>
      <c r="E10" s="27">
        <v>23.0</v>
      </c>
      <c r="F10" s="21">
        <v>23.0</v>
      </c>
      <c r="G10" s="21">
        <v>23.0</v>
      </c>
      <c r="H10" s="21">
        <v>21.0</v>
      </c>
      <c r="I10" s="21">
        <v>25.0</v>
      </c>
      <c r="J10" s="21">
        <v>23.0</v>
      </c>
      <c r="K10" s="21">
        <v>20.0</v>
      </c>
      <c r="L10" s="21">
        <v>23.0</v>
      </c>
      <c r="M10" s="21">
        <v>14.0</v>
      </c>
      <c r="N10" s="21">
        <v>17.0</v>
      </c>
      <c r="O10" s="24">
        <f t="shared" si="1"/>
        <v>22</v>
      </c>
    </row>
    <row r="11" ht="15.75" customHeight="1">
      <c r="A11" s="18">
        <v>4.0</v>
      </c>
      <c r="B11" s="25">
        <v>1.6010122005E10</v>
      </c>
      <c r="C11" s="26" t="s">
        <v>34</v>
      </c>
      <c r="D11" s="21">
        <v>25.0</v>
      </c>
      <c r="E11" s="27">
        <v>24.0</v>
      </c>
      <c r="F11" s="21">
        <v>23.0</v>
      </c>
      <c r="G11" s="21">
        <v>23.0</v>
      </c>
      <c r="H11" s="21">
        <v>21.0</v>
      </c>
      <c r="I11" s="21">
        <v>25.0</v>
      </c>
      <c r="J11" s="21">
        <v>20.0</v>
      </c>
      <c r="K11" s="21">
        <v>16.0</v>
      </c>
      <c r="L11" s="21">
        <v>24.0</v>
      </c>
      <c r="M11" s="21">
        <v>23.0</v>
      </c>
      <c r="N11" s="28">
        <v>0.0</v>
      </c>
      <c r="O11" s="24">
        <f t="shared" si="1"/>
        <v>21</v>
      </c>
    </row>
    <row r="12" ht="15.75" customHeight="1">
      <c r="A12" s="18">
        <v>5.0</v>
      </c>
      <c r="B12" s="25">
        <v>1.6010122008E10</v>
      </c>
      <c r="C12" s="26" t="s">
        <v>35</v>
      </c>
      <c r="D12" s="21">
        <v>25.0</v>
      </c>
      <c r="E12" s="27">
        <v>24.0</v>
      </c>
      <c r="F12" s="21">
        <v>20.0</v>
      </c>
      <c r="G12" s="21">
        <v>25.0</v>
      </c>
      <c r="H12" s="21">
        <v>19.0</v>
      </c>
      <c r="I12" s="21">
        <v>23.0</v>
      </c>
      <c r="J12" s="21">
        <v>25.0</v>
      </c>
      <c r="K12" s="21">
        <v>18.0</v>
      </c>
      <c r="L12" s="21">
        <v>23.0</v>
      </c>
      <c r="M12" s="21">
        <v>24.0</v>
      </c>
      <c r="N12" s="28">
        <v>0.0</v>
      </c>
      <c r="O12" s="24">
        <f t="shared" si="1"/>
        <v>21</v>
      </c>
    </row>
    <row r="13" ht="15.75" customHeight="1">
      <c r="A13" s="18">
        <v>6.0</v>
      </c>
      <c r="B13" s="25">
        <v>1.601012201E10</v>
      </c>
      <c r="C13" s="26" t="s">
        <v>36</v>
      </c>
      <c r="D13" s="21">
        <v>22.0</v>
      </c>
      <c r="E13" s="27">
        <v>20.0</v>
      </c>
      <c r="F13" s="21">
        <v>21.0</v>
      </c>
      <c r="G13" s="21">
        <v>20.0</v>
      </c>
      <c r="H13" s="21">
        <v>21.0</v>
      </c>
      <c r="I13" s="21">
        <v>25.0</v>
      </c>
      <c r="J13" s="21">
        <v>23.0</v>
      </c>
      <c r="K13" s="21">
        <v>15.0</v>
      </c>
      <c r="L13" s="21">
        <v>22.0</v>
      </c>
      <c r="M13" s="21">
        <v>23.0</v>
      </c>
      <c r="N13" s="21">
        <v>12.0</v>
      </c>
      <c r="O13" s="24">
        <f t="shared" si="1"/>
        <v>21</v>
      </c>
    </row>
    <row r="14" ht="15.75" customHeight="1">
      <c r="A14" s="18">
        <v>7.0</v>
      </c>
      <c r="B14" s="25">
        <v>1.6010122011E10</v>
      </c>
      <c r="C14" s="26" t="s">
        <v>37</v>
      </c>
      <c r="D14" s="21">
        <v>25.0</v>
      </c>
      <c r="E14" s="27">
        <v>23.0</v>
      </c>
      <c r="F14" s="21">
        <v>23.0</v>
      </c>
      <c r="G14" s="21">
        <v>23.0</v>
      </c>
      <c r="H14" s="21">
        <v>22.0</v>
      </c>
      <c r="I14" s="21">
        <v>25.0</v>
      </c>
      <c r="J14" s="21">
        <v>23.0</v>
      </c>
      <c r="K14" s="21">
        <v>21.0</v>
      </c>
      <c r="L14" s="21">
        <v>20.0</v>
      </c>
      <c r="M14" s="21">
        <v>25.0</v>
      </c>
      <c r="N14" s="21">
        <v>16.25</v>
      </c>
      <c r="O14" s="24">
        <f t="shared" si="1"/>
        <v>23</v>
      </c>
    </row>
    <row r="15" ht="15.75" customHeight="1">
      <c r="A15" s="18">
        <v>8.0</v>
      </c>
      <c r="B15" s="25">
        <v>1.6010122012E10</v>
      </c>
      <c r="C15" s="26" t="s">
        <v>38</v>
      </c>
      <c r="D15" s="21">
        <v>25.0</v>
      </c>
      <c r="E15" s="27">
        <v>15.0</v>
      </c>
      <c r="F15" s="21">
        <v>19.0</v>
      </c>
      <c r="G15" s="21">
        <v>21.0</v>
      </c>
      <c r="H15" s="21">
        <v>19.0</v>
      </c>
      <c r="I15" s="21">
        <v>22.0</v>
      </c>
      <c r="J15" s="21">
        <v>21.0</v>
      </c>
      <c r="K15" s="21">
        <v>12.0</v>
      </c>
      <c r="L15" s="21">
        <v>20.0</v>
      </c>
      <c r="M15" s="21">
        <v>15.0</v>
      </c>
      <c r="N15" s="21">
        <v>16.0</v>
      </c>
      <c r="O15" s="24">
        <f t="shared" si="1"/>
        <v>19</v>
      </c>
    </row>
    <row r="16" ht="15.75" customHeight="1">
      <c r="A16" s="18">
        <v>9.0</v>
      </c>
      <c r="B16" s="25">
        <v>1.6010122014E10</v>
      </c>
      <c r="C16" s="26" t="s">
        <v>39</v>
      </c>
      <c r="D16" s="21">
        <v>25.0</v>
      </c>
      <c r="E16" s="27">
        <v>20.0</v>
      </c>
      <c r="F16" s="21">
        <v>20.0</v>
      </c>
      <c r="G16" s="21">
        <v>23.0</v>
      </c>
      <c r="H16" s="21">
        <v>22.0</v>
      </c>
      <c r="I16" s="21">
        <v>24.0</v>
      </c>
      <c r="J16" s="29">
        <v>15.0</v>
      </c>
      <c r="K16" s="21">
        <v>19.0</v>
      </c>
      <c r="L16" s="21">
        <v>21.0</v>
      </c>
      <c r="M16" s="21">
        <v>21.0</v>
      </c>
      <c r="N16" s="21">
        <v>8.25</v>
      </c>
      <c r="O16" s="24">
        <f t="shared" si="1"/>
        <v>20</v>
      </c>
    </row>
    <row r="17" ht="15.75" customHeight="1">
      <c r="A17" s="18">
        <v>10.0</v>
      </c>
      <c r="B17" s="25">
        <v>1.6010122015E10</v>
      </c>
      <c r="C17" s="26" t="s">
        <v>40</v>
      </c>
      <c r="D17" s="21">
        <v>25.0</v>
      </c>
      <c r="E17" s="27">
        <v>20.0</v>
      </c>
      <c r="F17" s="21">
        <v>23.0</v>
      </c>
      <c r="G17" s="21">
        <v>23.0</v>
      </c>
      <c r="H17" s="21">
        <v>21.0</v>
      </c>
      <c r="I17" s="21">
        <v>25.0</v>
      </c>
      <c r="J17" s="21">
        <v>21.0</v>
      </c>
      <c r="K17" s="21">
        <v>10.0</v>
      </c>
      <c r="L17" s="29">
        <v>15.0</v>
      </c>
      <c r="M17" s="21">
        <v>23.0</v>
      </c>
      <c r="N17" s="21">
        <v>19.0</v>
      </c>
      <c r="O17" s="24">
        <f t="shared" si="1"/>
        <v>21</v>
      </c>
    </row>
    <row r="18" ht="15.75" customHeight="1">
      <c r="A18" s="18">
        <v>11.0</v>
      </c>
      <c r="B18" s="25">
        <v>1.6010122016E10</v>
      </c>
      <c r="C18" s="26" t="s">
        <v>41</v>
      </c>
      <c r="D18" s="21">
        <v>25.0</v>
      </c>
      <c r="E18" s="27">
        <v>23.0</v>
      </c>
      <c r="F18" s="21">
        <v>23.0</v>
      </c>
      <c r="G18" s="21">
        <v>23.0</v>
      </c>
      <c r="H18" s="21">
        <v>21.0</v>
      </c>
      <c r="I18" s="21">
        <v>25.0</v>
      </c>
      <c r="J18" s="21">
        <v>23.0</v>
      </c>
      <c r="K18" s="21">
        <v>13.0</v>
      </c>
      <c r="L18" s="21">
        <v>22.0</v>
      </c>
      <c r="M18" s="21">
        <v>25.0</v>
      </c>
      <c r="N18" s="21">
        <v>25.0</v>
      </c>
      <c r="O18" s="24">
        <f t="shared" si="1"/>
        <v>23</v>
      </c>
    </row>
    <row r="19" ht="15.75" customHeight="1">
      <c r="A19" s="18">
        <v>12.0</v>
      </c>
      <c r="B19" s="25">
        <v>1.6010122017E10</v>
      </c>
      <c r="C19" s="26" t="s">
        <v>42</v>
      </c>
      <c r="D19" s="21">
        <v>25.0</v>
      </c>
      <c r="E19" s="27">
        <v>24.0</v>
      </c>
      <c r="F19" s="21">
        <v>20.33</v>
      </c>
      <c r="G19" s="21">
        <v>25.0</v>
      </c>
      <c r="H19" s="21">
        <v>24.0</v>
      </c>
      <c r="I19" s="21">
        <v>25.0</v>
      </c>
      <c r="J19" s="21">
        <v>25.0</v>
      </c>
      <c r="K19" s="21">
        <v>23.0</v>
      </c>
      <c r="L19" s="21">
        <v>23.0</v>
      </c>
      <c r="M19" s="21">
        <v>25.0</v>
      </c>
      <c r="N19" s="21">
        <v>2.0</v>
      </c>
      <c r="O19" s="24">
        <f t="shared" si="1"/>
        <v>22</v>
      </c>
    </row>
    <row r="20" ht="15.75" customHeight="1">
      <c r="A20" s="18">
        <v>13.0</v>
      </c>
      <c r="B20" s="25">
        <v>1.6010122018E10</v>
      </c>
      <c r="C20" s="26" t="s">
        <v>43</v>
      </c>
      <c r="D20" s="21">
        <v>22.0</v>
      </c>
      <c r="E20" s="27">
        <v>20.0</v>
      </c>
      <c r="F20" s="21">
        <v>7.0</v>
      </c>
      <c r="G20" s="21">
        <v>21.0</v>
      </c>
      <c r="H20" s="21">
        <v>20.0</v>
      </c>
      <c r="I20" s="21">
        <v>25.0</v>
      </c>
      <c r="J20" s="21">
        <v>21.0</v>
      </c>
      <c r="K20" s="21">
        <v>13.0</v>
      </c>
      <c r="L20" s="29">
        <v>12.0</v>
      </c>
      <c r="M20" s="21">
        <v>17.0</v>
      </c>
      <c r="N20" s="21">
        <v>12.0</v>
      </c>
      <c r="O20" s="24">
        <f t="shared" si="1"/>
        <v>18</v>
      </c>
    </row>
    <row r="21" ht="15.75" customHeight="1">
      <c r="A21" s="18">
        <v>14.0</v>
      </c>
      <c r="B21" s="25">
        <v>1.6010122019E10</v>
      </c>
      <c r="C21" s="26" t="s">
        <v>44</v>
      </c>
      <c r="D21" s="21">
        <v>25.0</v>
      </c>
      <c r="E21" s="27">
        <v>23.0</v>
      </c>
      <c r="F21" s="21">
        <v>22.0</v>
      </c>
      <c r="G21" s="21">
        <v>25.0</v>
      </c>
      <c r="H21" s="21">
        <v>23.0</v>
      </c>
      <c r="I21" s="21">
        <v>25.0</v>
      </c>
      <c r="J21" s="21">
        <v>25.0</v>
      </c>
      <c r="K21" s="21">
        <v>22.0</v>
      </c>
      <c r="L21" s="21">
        <v>23.0</v>
      </c>
      <c r="M21" s="21">
        <v>21.0</v>
      </c>
      <c r="N21" s="21">
        <v>0.0</v>
      </c>
      <c r="O21" s="24">
        <f t="shared" si="1"/>
        <v>22</v>
      </c>
    </row>
    <row r="22" ht="15.75" customHeight="1">
      <c r="A22" s="18">
        <v>15.0</v>
      </c>
      <c r="B22" s="25">
        <v>1.601012202E10</v>
      </c>
      <c r="C22" s="26" t="s">
        <v>45</v>
      </c>
      <c r="D22" s="21">
        <v>25.0</v>
      </c>
      <c r="E22" s="30">
        <v>15.0</v>
      </c>
      <c r="F22" s="21">
        <v>22.0</v>
      </c>
      <c r="G22" s="21">
        <v>22.0</v>
      </c>
      <c r="H22" s="21">
        <v>23.0</v>
      </c>
      <c r="I22" s="21">
        <v>25.0</v>
      </c>
      <c r="J22" s="21">
        <v>24.0</v>
      </c>
      <c r="K22" s="21">
        <v>17.0</v>
      </c>
      <c r="L22" s="21">
        <v>20.0</v>
      </c>
      <c r="M22" s="21">
        <v>5.0</v>
      </c>
      <c r="N22" s="21">
        <v>20.75</v>
      </c>
      <c r="O22" s="24">
        <f t="shared" si="1"/>
        <v>20</v>
      </c>
    </row>
    <row r="23" ht="15.75" customHeight="1">
      <c r="A23" s="18">
        <v>16.0</v>
      </c>
      <c r="B23" s="25">
        <v>1.6010122022E10</v>
      </c>
      <c r="C23" s="26" t="s">
        <v>46</v>
      </c>
      <c r="D23" s="21">
        <v>25.0</v>
      </c>
      <c r="E23" s="30">
        <v>10.0</v>
      </c>
      <c r="F23" s="21">
        <v>15.0</v>
      </c>
      <c r="G23" s="28">
        <v>0.0</v>
      </c>
      <c r="H23" s="21">
        <v>16.0</v>
      </c>
      <c r="I23" s="28">
        <v>0.0</v>
      </c>
      <c r="J23" s="21">
        <v>21.0</v>
      </c>
      <c r="K23" s="21">
        <v>19.0</v>
      </c>
      <c r="L23" s="21">
        <v>23.0</v>
      </c>
      <c r="M23" s="21">
        <v>21.0</v>
      </c>
      <c r="N23" s="21">
        <v>25.0</v>
      </c>
      <c r="O23" s="24">
        <f t="shared" si="1"/>
        <v>16</v>
      </c>
    </row>
    <row r="24" ht="15.75" customHeight="1">
      <c r="A24" s="18">
        <v>17.0</v>
      </c>
      <c r="B24" s="25">
        <v>1.6010122024E10</v>
      </c>
      <c r="C24" s="26" t="s">
        <v>47</v>
      </c>
      <c r="D24" s="21">
        <v>25.0</v>
      </c>
      <c r="E24" s="27">
        <v>20.0</v>
      </c>
      <c r="F24" s="21">
        <v>21.0</v>
      </c>
      <c r="G24" s="21">
        <v>24.0</v>
      </c>
      <c r="H24" s="29">
        <v>15.0</v>
      </c>
      <c r="I24" s="21">
        <v>25.0</v>
      </c>
      <c r="J24" s="21">
        <v>20.0</v>
      </c>
      <c r="K24" s="21">
        <v>11.67</v>
      </c>
      <c r="L24" s="21">
        <v>21.0</v>
      </c>
      <c r="M24" s="21">
        <v>22.0</v>
      </c>
      <c r="N24" s="21">
        <v>15.0</v>
      </c>
      <c r="O24" s="24">
        <f t="shared" si="1"/>
        <v>20</v>
      </c>
    </row>
    <row r="25" ht="15.75" customHeight="1">
      <c r="A25" s="18">
        <v>18.0</v>
      </c>
      <c r="B25" s="25">
        <v>1.6010122025E10</v>
      </c>
      <c r="C25" s="26" t="s">
        <v>48</v>
      </c>
      <c r="D25" s="21">
        <v>25.0</v>
      </c>
      <c r="E25" s="27">
        <v>23.0</v>
      </c>
      <c r="F25" s="21">
        <v>20.0</v>
      </c>
      <c r="G25" s="21">
        <v>23.0</v>
      </c>
      <c r="H25" s="21">
        <v>21.0</v>
      </c>
      <c r="I25" s="21">
        <v>23.0</v>
      </c>
      <c r="J25" s="21">
        <v>23.0</v>
      </c>
      <c r="K25" s="21">
        <v>14.0</v>
      </c>
      <c r="L25" s="21">
        <v>22.0</v>
      </c>
      <c r="M25" s="21">
        <v>20.0</v>
      </c>
      <c r="N25" s="21">
        <v>20.5</v>
      </c>
      <c r="O25" s="24">
        <f t="shared" si="1"/>
        <v>22</v>
      </c>
    </row>
    <row r="26" ht="15.75" customHeight="1">
      <c r="A26" s="18">
        <v>19.0</v>
      </c>
      <c r="B26" s="25">
        <v>1.6010122026E10</v>
      </c>
      <c r="C26" s="26" t="s">
        <v>49</v>
      </c>
      <c r="D26" s="31">
        <v>20.0</v>
      </c>
      <c r="E26" s="27">
        <v>15.0</v>
      </c>
      <c r="F26" s="21">
        <v>11.0</v>
      </c>
      <c r="G26" s="21">
        <v>22.0</v>
      </c>
      <c r="H26" s="29">
        <v>13.0</v>
      </c>
      <c r="I26" s="21">
        <v>25.0</v>
      </c>
      <c r="J26" s="21">
        <v>21.0</v>
      </c>
      <c r="K26" s="21">
        <v>25.0</v>
      </c>
      <c r="L26" s="21">
        <v>20.0</v>
      </c>
      <c r="M26" s="21">
        <v>23.0</v>
      </c>
      <c r="N26" s="21">
        <v>11.0</v>
      </c>
      <c r="O26" s="24">
        <f t="shared" si="1"/>
        <v>19</v>
      </c>
    </row>
    <row r="27" ht="15.75" customHeight="1">
      <c r="A27" s="18">
        <v>20.0</v>
      </c>
      <c r="B27" s="25">
        <v>1.6010122027E10</v>
      </c>
      <c r="C27" s="26" t="s">
        <v>50</v>
      </c>
      <c r="D27" s="31">
        <v>25.0</v>
      </c>
      <c r="E27" s="27">
        <v>19.0</v>
      </c>
      <c r="F27" s="21">
        <v>23.0</v>
      </c>
      <c r="G27" s="21">
        <v>23.0</v>
      </c>
      <c r="H27" s="21">
        <v>21.0</v>
      </c>
      <c r="I27" s="21">
        <v>23.0</v>
      </c>
      <c r="J27" s="21">
        <v>21.0</v>
      </c>
      <c r="K27" s="21">
        <v>11.0</v>
      </c>
      <c r="L27" s="21">
        <v>20.0</v>
      </c>
      <c r="M27" s="21">
        <v>19.0</v>
      </c>
      <c r="N27" s="21">
        <v>19.0</v>
      </c>
      <c r="O27" s="24">
        <f t="shared" si="1"/>
        <v>21</v>
      </c>
    </row>
    <row r="28" ht="15.75" customHeight="1">
      <c r="A28" s="18">
        <v>21.0</v>
      </c>
      <c r="B28" s="25">
        <v>1.6010122028E10</v>
      </c>
      <c r="C28" s="26" t="s">
        <v>51</v>
      </c>
      <c r="D28" s="21">
        <v>24.0</v>
      </c>
      <c r="E28" s="27">
        <v>22.0</v>
      </c>
      <c r="F28" s="21">
        <v>23.0</v>
      </c>
      <c r="G28" s="21">
        <v>23.0</v>
      </c>
      <c r="H28" s="21">
        <v>19.0</v>
      </c>
      <c r="I28" s="21">
        <v>24.0</v>
      </c>
      <c r="J28" s="21">
        <v>20.0</v>
      </c>
      <c r="K28" s="21">
        <v>21.67</v>
      </c>
      <c r="L28" s="21">
        <v>21.0</v>
      </c>
      <c r="M28" s="21">
        <v>1.0</v>
      </c>
      <c r="N28" s="21">
        <v>12.25</v>
      </c>
      <c r="O28" s="24">
        <f t="shared" si="1"/>
        <v>20</v>
      </c>
    </row>
    <row r="29" ht="15.75" customHeight="1">
      <c r="A29" s="32">
        <v>22.0</v>
      </c>
      <c r="B29" s="33">
        <v>1.601012203E10</v>
      </c>
      <c r="C29" s="34" t="s">
        <v>52</v>
      </c>
      <c r="D29" s="35">
        <v>23.0</v>
      </c>
      <c r="E29" s="36">
        <v>18.0</v>
      </c>
      <c r="F29" s="35">
        <v>25.0</v>
      </c>
      <c r="G29" s="35">
        <v>23.0</v>
      </c>
      <c r="H29" s="35">
        <v>23.0</v>
      </c>
      <c r="I29" s="35">
        <v>25.0</v>
      </c>
      <c r="J29" s="29">
        <v>13.0</v>
      </c>
      <c r="K29" s="35">
        <v>15.0</v>
      </c>
      <c r="L29" s="35">
        <v>10.0</v>
      </c>
      <c r="M29" s="35">
        <v>25.0</v>
      </c>
      <c r="N29" s="35">
        <v>23.0</v>
      </c>
      <c r="O29" s="37">
        <f t="shared" si="1"/>
        <v>21</v>
      </c>
    </row>
    <row r="30" ht="15.75" customHeight="1">
      <c r="A30" s="32">
        <v>23.0</v>
      </c>
      <c r="B30" s="38">
        <v>1.6010122031E10</v>
      </c>
      <c r="C30" s="39" t="s">
        <v>53</v>
      </c>
      <c r="D30" s="35">
        <v>25.0</v>
      </c>
      <c r="E30" s="40">
        <v>20.0</v>
      </c>
      <c r="F30" s="35">
        <v>23.0</v>
      </c>
      <c r="G30" s="35">
        <v>23.0</v>
      </c>
      <c r="H30" s="35">
        <v>22.0</v>
      </c>
      <c r="I30" s="35">
        <v>25.0</v>
      </c>
      <c r="J30" s="35">
        <v>20.0</v>
      </c>
      <c r="K30" s="35">
        <v>25.0</v>
      </c>
      <c r="L30" s="35">
        <v>18.0</v>
      </c>
      <c r="M30" s="35">
        <v>17.0</v>
      </c>
      <c r="N30" s="35">
        <v>12.0</v>
      </c>
      <c r="O30" s="37">
        <f t="shared" si="1"/>
        <v>21</v>
      </c>
    </row>
    <row r="31" ht="15.75" customHeight="1">
      <c r="A31" s="32">
        <v>24.0</v>
      </c>
      <c r="B31" s="33">
        <v>1.6010122032E10</v>
      </c>
      <c r="C31" s="34" t="s">
        <v>54</v>
      </c>
      <c r="D31" s="35">
        <v>25.0</v>
      </c>
      <c r="E31" s="40">
        <v>10.0</v>
      </c>
      <c r="F31" s="35">
        <v>18.0</v>
      </c>
      <c r="G31" s="35">
        <v>23.0</v>
      </c>
      <c r="H31" s="35">
        <v>10.0</v>
      </c>
      <c r="I31" s="35">
        <v>25.0</v>
      </c>
      <c r="J31" s="35">
        <v>18.0</v>
      </c>
      <c r="K31" s="35">
        <v>22.0</v>
      </c>
      <c r="L31" s="35">
        <v>10.0</v>
      </c>
      <c r="M31" s="35">
        <v>24.0</v>
      </c>
      <c r="N31" s="35">
        <v>10.0</v>
      </c>
      <c r="O31" s="37">
        <f t="shared" si="1"/>
        <v>18</v>
      </c>
    </row>
    <row r="32" ht="15.75" customHeight="1">
      <c r="A32" s="32">
        <v>25.0</v>
      </c>
      <c r="B32" s="33">
        <v>1.6010122033E10</v>
      </c>
      <c r="C32" s="34" t="s">
        <v>55</v>
      </c>
      <c r="D32" s="35">
        <v>25.0</v>
      </c>
      <c r="E32" s="40">
        <v>18.0</v>
      </c>
      <c r="F32" s="35">
        <v>25.0</v>
      </c>
      <c r="G32" s="35">
        <v>21.0</v>
      </c>
      <c r="H32" s="35">
        <v>19.0</v>
      </c>
      <c r="I32" s="35">
        <v>23.0</v>
      </c>
      <c r="J32" s="35">
        <v>12.0</v>
      </c>
      <c r="K32" s="35">
        <v>20.0</v>
      </c>
      <c r="L32" s="35">
        <v>18.0</v>
      </c>
      <c r="M32" s="35">
        <v>25.0</v>
      </c>
      <c r="N32" s="35">
        <v>23.0</v>
      </c>
      <c r="O32" s="37">
        <f t="shared" si="1"/>
        <v>21</v>
      </c>
    </row>
    <row r="33" ht="15.75" customHeight="1">
      <c r="A33" s="32">
        <v>26.0</v>
      </c>
      <c r="B33" s="33">
        <v>1.6010122034E10</v>
      </c>
      <c r="C33" s="34" t="s">
        <v>56</v>
      </c>
      <c r="D33" s="35">
        <v>25.0</v>
      </c>
      <c r="E33" s="40">
        <v>24.0</v>
      </c>
      <c r="F33" s="35">
        <v>23.0</v>
      </c>
      <c r="G33" s="35">
        <v>21.0</v>
      </c>
      <c r="H33" s="35">
        <v>21.0</v>
      </c>
      <c r="I33" s="35">
        <v>25.0</v>
      </c>
      <c r="J33" s="35">
        <v>10.0</v>
      </c>
      <c r="K33" s="35">
        <v>18.0</v>
      </c>
      <c r="L33" s="35">
        <v>20.0</v>
      </c>
      <c r="M33" s="35">
        <v>23.0</v>
      </c>
      <c r="N33" s="35">
        <v>21.0</v>
      </c>
      <c r="O33" s="37">
        <f t="shared" si="1"/>
        <v>21</v>
      </c>
    </row>
    <row r="34" ht="15.75" customHeight="1">
      <c r="A34" s="32">
        <v>27.0</v>
      </c>
      <c r="B34" s="33">
        <v>1.6010122035E10</v>
      </c>
      <c r="C34" s="34" t="s">
        <v>57</v>
      </c>
      <c r="D34" s="35">
        <v>25.0</v>
      </c>
      <c r="E34" s="40">
        <v>18.0</v>
      </c>
      <c r="F34" s="35">
        <v>18.0</v>
      </c>
      <c r="G34" s="35">
        <v>23.0</v>
      </c>
      <c r="H34" s="35">
        <v>18.0</v>
      </c>
      <c r="I34" s="35">
        <v>25.0</v>
      </c>
      <c r="J34" s="35">
        <v>10.0</v>
      </c>
      <c r="K34" s="35">
        <v>15.0</v>
      </c>
      <c r="L34" s="35">
        <v>10.0</v>
      </c>
      <c r="M34" s="35">
        <v>22.0</v>
      </c>
      <c r="N34" s="35">
        <v>20.75</v>
      </c>
      <c r="O34" s="37">
        <f t="shared" si="1"/>
        <v>19</v>
      </c>
    </row>
    <row r="35" ht="15.75" customHeight="1">
      <c r="A35" s="32">
        <v>28.0</v>
      </c>
      <c r="B35" s="33">
        <v>1.6010122036E10</v>
      </c>
      <c r="C35" s="34" t="s">
        <v>58</v>
      </c>
      <c r="D35" s="35">
        <v>25.0</v>
      </c>
      <c r="E35" s="30">
        <v>12.0</v>
      </c>
      <c r="F35" s="35">
        <v>13.0</v>
      </c>
      <c r="G35" s="35">
        <v>21.0</v>
      </c>
      <c r="H35" s="35">
        <v>19.0</v>
      </c>
      <c r="I35" s="35">
        <v>25.0</v>
      </c>
      <c r="J35" s="35">
        <v>23.0</v>
      </c>
      <c r="K35" s="35">
        <v>11.0</v>
      </c>
      <c r="L35" s="35">
        <v>10.0</v>
      </c>
      <c r="M35" s="35">
        <v>20.0</v>
      </c>
      <c r="N35" s="35">
        <v>14.25</v>
      </c>
      <c r="O35" s="37">
        <f t="shared" si="1"/>
        <v>18</v>
      </c>
    </row>
    <row r="36" ht="15.75" customHeight="1">
      <c r="A36" s="32">
        <v>29.0</v>
      </c>
      <c r="B36" s="33">
        <v>1.6010122038E10</v>
      </c>
      <c r="C36" s="34" t="s">
        <v>59</v>
      </c>
      <c r="D36" s="35">
        <v>23.0</v>
      </c>
      <c r="E36" s="40">
        <v>15.0</v>
      </c>
      <c r="F36" s="35">
        <v>14.0</v>
      </c>
      <c r="G36" s="35">
        <v>21.0</v>
      </c>
      <c r="H36" s="35">
        <v>23.0</v>
      </c>
      <c r="I36" s="35">
        <v>25.0</v>
      </c>
      <c r="J36" s="29">
        <v>12.0</v>
      </c>
      <c r="K36" s="35">
        <v>7.0</v>
      </c>
      <c r="L36" s="35">
        <v>22.0</v>
      </c>
      <c r="M36" s="35">
        <v>23.0</v>
      </c>
      <c r="N36" s="35">
        <v>14.82</v>
      </c>
      <c r="O36" s="37">
        <f t="shared" si="1"/>
        <v>19</v>
      </c>
    </row>
    <row r="37" ht="15.75" customHeight="1">
      <c r="A37" s="32">
        <v>30.0</v>
      </c>
      <c r="B37" s="33">
        <v>1.6010122039E10</v>
      </c>
      <c r="C37" s="34" t="s">
        <v>60</v>
      </c>
      <c r="D37" s="35">
        <v>25.0</v>
      </c>
      <c r="E37" s="41">
        <v>0.0</v>
      </c>
      <c r="F37" s="35">
        <v>17.0</v>
      </c>
      <c r="G37" s="35">
        <v>23.0</v>
      </c>
      <c r="H37" s="35">
        <v>22.0</v>
      </c>
      <c r="I37" s="35">
        <v>23.0</v>
      </c>
      <c r="J37" s="35">
        <v>12.0</v>
      </c>
      <c r="K37" s="35">
        <v>8.0</v>
      </c>
      <c r="L37" s="35">
        <v>20.0</v>
      </c>
      <c r="M37" s="35">
        <v>22.0</v>
      </c>
      <c r="N37" s="35">
        <v>16.0</v>
      </c>
      <c r="O37" s="37">
        <f t="shared" si="1"/>
        <v>18</v>
      </c>
    </row>
    <row r="38" ht="15.75" customHeight="1">
      <c r="A38" s="32">
        <v>31.0</v>
      </c>
      <c r="B38" s="33">
        <v>1.6010122041E10</v>
      </c>
      <c r="C38" s="34" t="s">
        <v>61</v>
      </c>
      <c r="D38" s="35">
        <v>25.0</v>
      </c>
      <c r="E38" s="40">
        <v>24.0</v>
      </c>
      <c r="F38" s="35">
        <v>25.0</v>
      </c>
      <c r="G38" s="35">
        <v>15.0</v>
      </c>
      <c r="H38" s="35">
        <v>24.0</v>
      </c>
      <c r="I38" s="35">
        <v>25.0</v>
      </c>
      <c r="J38" s="35">
        <v>18.0</v>
      </c>
      <c r="K38" s="35">
        <v>14.0</v>
      </c>
      <c r="L38" s="35">
        <v>20.0</v>
      </c>
      <c r="M38" s="35">
        <v>24.0</v>
      </c>
      <c r="N38" s="35">
        <v>10.0</v>
      </c>
      <c r="O38" s="37">
        <f t="shared" si="1"/>
        <v>21</v>
      </c>
    </row>
    <row r="39" ht="15.75" customHeight="1">
      <c r="A39" s="32">
        <v>32.0</v>
      </c>
      <c r="B39" s="33">
        <v>1.6010122044E10</v>
      </c>
      <c r="C39" s="34" t="s">
        <v>62</v>
      </c>
      <c r="D39" s="35">
        <v>25.0</v>
      </c>
      <c r="E39" s="40">
        <v>23.0</v>
      </c>
      <c r="F39" s="35">
        <v>23.0</v>
      </c>
      <c r="G39" s="35">
        <v>23.0</v>
      </c>
      <c r="H39" s="35">
        <v>19.0</v>
      </c>
      <c r="I39" s="35">
        <v>25.0</v>
      </c>
      <c r="J39" s="35">
        <v>23.0</v>
      </c>
      <c r="K39" s="35">
        <v>22.0</v>
      </c>
      <c r="L39" s="35">
        <v>10.0</v>
      </c>
      <c r="M39" s="35">
        <v>22.0</v>
      </c>
      <c r="N39" s="35">
        <v>25.0</v>
      </c>
      <c r="O39" s="37">
        <f t="shared" si="1"/>
        <v>22</v>
      </c>
    </row>
    <row r="40" ht="15.75" customHeight="1">
      <c r="A40" s="32">
        <v>33.0</v>
      </c>
      <c r="B40" s="33">
        <v>1.6010122045E10</v>
      </c>
      <c r="C40" s="34" t="s">
        <v>63</v>
      </c>
      <c r="D40" s="35">
        <v>25.0</v>
      </c>
      <c r="E40" s="40">
        <v>20.0</v>
      </c>
      <c r="F40" s="35">
        <v>18.0</v>
      </c>
      <c r="G40" s="35">
        <v>23.0</v>
      </c>
      <c r="H40" s="35">
        <v>21.0</v>
      </c>
      <c r="I40" s="35">
        <v>25.0</v>
      </c>
      <c r="J40" s="35">
        <v>22.0</v>
      </c>
      <c r="K40" s="35">
        <v>16.0</v>
      </c>
      <c r="L40" s="35">
        <v>21.0</v>
      </c>
      <c r="M40" s="35">
        <v>18.0</v>
      </c>
      <c r="N40" s="35">
        <v>10.86</v>
      </c>
      <c r="O40" s="37">
        <f t="shared" si="1"/>
        <v>20</v>
      </c>
    </row>
    <row r="41" ht="15.75" customHeight="1">
      <c r="A41" s="32">
        <v>34.0</v>
      </c>
      <c r="B41" s="33">
        <v>1.6010122048E10</v>
      </c>
      <c r="C41" s="34" t="s">
        <v>64</v>
      </c>
      <c r="D41" s="35">
        <v>23.0</v>
      </c>
      <c r="E41" s="40">
        <v>20.0</v>
      </c>
      <c r="F41" s="35">
        <v>18.0</v>
      </c>
      <c r="G41" s="35">
        <v>20.0</v>
      </c>
      <c r="H41" s="35">
        <v>21.0</v>
      </c>
      <c r="I41" s="35">
        <v>23.0</v>
      </c>
      <c r="J41" s="35">
        <v>10.0</v>
      </c>
      <c r="K41" s="35">
        <v>12.0</v>
      </c>
      <c r="L41" s="29">
        <v>12.0</v>
      </c>
      <c r="M41" s="35">
        <v>24.0</v>
      </c>
      <c r="N41" s="35">
        <v>23.29</v>
      </c>
      <c r="O41" s="37">
        <f t="shared" si="1"/>
        <v>19</v>
      </c>
    </row>
    <row r="42" ht="15.75" customHeight="1">
      <c r="A42" s="32">
        <v>35.0</v>
      </c>
      <c r="B42" s="33">
        <v>1.6010122049E10</v>
      </c>
      <c r="C42" s="34" t="s">
        <v>65</v>
      </c>
      <c r="D42" s="35">
        <v>22.0</v>
      </c>
      <c r="E42" s="40">
        <v>18.0</v>
      </c>
      <c r="F42" s="35">
        <v>20.0</v>
      </c>
      <c r="G42" s="29">
        <v>10.0</v>
      </c>
      <c r="H42" s="35">
        <v>21.0</v>
      </c>
      <c r="I42" s="35">
        <v>25.0</v>
      </c>
      <c r="J42" s="28">
        <v>0.0</v>
      </c>
      <c r="K42" s="35">
        <v>23.0</v>
      </c>
      <c r="L42" s="28">
        <v>15.0</v>
      </c>
      <c r="M42" s="28">
        <v>15.0</v>
      </c>
      <c r="N42" s="28">
        <v>15.0</v>
      </c>
      <c r="O42" s="37">
        <f t="shared" si="1"/>
        <v>17</v>
      </c>
    </row>
    <row r="43" ht="15.75" customHeight="1">
      <c r="A43" s="32">
        <v>36.0</v>
      </c>
      <c r="B43" s="33">
        <v>1.601012205E10</v>
      </c>
      <c r="C43" s="34" t="s">
        <v>66</v>
      </c>
      <c r="D43" s="29">
        <v>10.0</v>
      </c>
      <c r="E43" s="41">
        <v>0.0</v>
      </c>
      <c r="F43" s="35">
        <v>13.0</v>
      </c>
      <c r="G43" s="28">
        <v>0.0</v>
      </c>
      <c r="H43" s="35">
        <v>22.0</v>
      </c>
      <c r="I43" s="35">
        <v>20.0</v>
      </c>
      <c r="J43" s="28">
        <v>0.0</v>
      </c>
      <c r="K43" s="35">
        <v>3.0</v>
      </c>
      <c r="L43" s="35">
        <v>20.0</v>
      </c>
      <c r="M43" s="28">
        <v>15.0</v>
      </c>
      <c r="N43" s="35">
        <v>12.0</v>
      </c>
      <c r="O43" s="37">
        <f t="shared" si="1"/>
        <v>11</v>
      </c>
    </row>
    <row r="44" ht="15.75" customHeight="1">
      <c r="A44" s="32">
        <v>37.0</v>
      </c>
      <c r="B44" s="33">
        <v>1.6010122051E10</v>
      </c>
      <c r="C44" s="34" t="s">
        <v>67</v>
      </c>
      <c r="D44" s="35">
        <v>25.0</v>
      </c>
      <c r="E44" s="40">
        <v>24.0</v>
      </c>
      <c r="F44" s="35">
        <v>25.0</v>
      </c>
      <c r="G44" s="35">
        <v>23.0</v>
      </c>
      <c r="H44" s="35">
        <v>21.0</v>
      </c>
      <c r="I44" s="35">
        <v>25.0</v>
      </c>
      <c r="J44" s="35">
        <v>25.0</v>
      </c>
      <c r="K44" s="35">
        <v>22.0</v>
      </c>
      <c r="L44" s="35">
        <v>25.0</v>
      </c>
      <c r="M44" s="35">
        <v>23.0</v>
      </c>
      <c r="N44" s="35">
        <v>12.0</v>
      </c>
      <c r="O44" s="37">
        <f t="shared" si="1"/>
        <v>23</v>
      </c>
    </row>
    <row r="45" ht="15.75" customHeight="1">
      <c r="A45" s="32">
        <v>38.0</v>
      </c>
      <c r="B45" s="33">
        <v>1.6010122053E10</v>
      </c>
      <c r="C45" s="34" t="s">
        <v>68</v>
      </c>
      <c r="D45" s="35">
        <v>23.0</v>
      </c>
      <c r="E45" s="40">
        <v>18.0</v>
      </c>
      <c r="F45" s="35">
        <v>18.0</v>
      </c>
      <c r="G45" s="42">
        <v>23.0</v>
      </c>
      <c r="H45" s="35">
        <v>18.0</v>
      </c>
      <c r="I45" s="35">
        <v>23.0</v>
      </c>
      <c r="J45" s="35">
        <v>15.0</v>
      </c>
      <c r="K45" s="35">
        <v>5.0</v>
      </c>
      <c r="L45" s="28">
        <v>15.0</v>
      </c>
      <c r="M45" s="28">
        <v>15.0</v>
      </c>
      <c r="N45" s="28">
        <v>15.0</v>
      </c>
      <c r="O45" s="37">
        <f t="shared" si="1"/>
        <v>18</v>
      </c>
    </row>
    <row r="46" ht="15.75" customHeight="1">
      <c r="A46" s="32">
        <v>39.0</v>
      </c>
      <c r="B46" s="33">
        <v>1.6010122055E10</v>
      </c>
      <c r="C46" s="34" t="s">
        <v>69</v>
      </c>
      <c r="D46" s="35">
        <v>25.0</v>
      </c>
      <c r="E46" s="30">
        <v>15.0</v>
      </c>
      <c r="F46" s="35">
        <v>18.0</v>
      </c>
      <c r="G46" s="35">
        <v>23.0</v>
      </c>
      <c r="H46" s="35">
        <v>25.0</v>
      </c>
      <c r="I46" s="35">
        <v>23.0</v>
      </c>
      <c r="J46" s="35">
        <v>15.0</v>
      </c>
      <c r="K46" s="35">
        <v>16.0</v>
      </c>
      <c r="L46" s="35">
        <v>20.0</v>
      </c>
      <c r="M46" s="35">
        <v>21.0</v>
      </c>
      <c r="N46" s="35">
        <v>16.75</v>
      </c>
      <c r="O46" s="37">
        <f t="shared" si="1"/>
        <v>20</v>
      </c>
    </row>
    <row r="47" ht="15.75" customHeight="1">
      <c r="A47" s="32">
        <v>40.0</v>
      </c>
      <c r="B47" s="33">
        <v>1.6010122056E10</v>
      </c>
      <c r="C47" s="34" t="s">
        <v>70</v>
      </c>
      <c r="D47" s="35">
        <v>23.0</v>
      </c>
      <c r="E47" s="40">
        <v>20.0</v>
      </c>
      <c r="F47" s="35">
        <v>16.0</v>
      </c>
      <c r="G47" s="35">
        <v>20.0</v>
      </c>
      <c r="H47" s="35">
        <v>21.0</v>
      </c>
      <c r="I47" s="35">
        <v>23.0</v>
      </c>
      <c r="J47" s="35">
        <v>18.0</v>
      </c>
      <c r="K47" s="35">
        <v>16.0</v>
      </c>
      <c r="L47" s="35">
        <v>20.0</v>
      </c>
      <c r="M47" s="35">
        <v>21.0</v>
      </c>
      <c r="N47" s="35">
        <v>14.57</v>
      </c>
      <c r="O47" s="37">
        <f t="shared" si="1"/>
        <v>20</v>
      </c>
    </row>
    <row r="48" ht="15.75" customHeight="1">
      <c r="A48" s="32">
        <v>41.0</v>
      </c>
      <c r="B48" s="33">
        <v>1.6010122057E10</v>
      </c>
      <c r="C48" s="34" t="s">
        <v>71</v>
      </c>
      <c r="D48" s="35">
        <v>25.0</v>
      </c>
      <c r="E48" s="40">
        <v>24.0</v>
      </c>
      <c r="F48" s="35">
        <v>17.0</v>
      </c>
      <c r="G48" s="35">
        <v>23.0</v>
      </c>
      <c r="H48" s="35">
        <v>25.0</v>
      </c>
      <c r="I48" s="35">
        <v>25.0</v>
      </c>
      <c r="J48" s="35">
        <v>25.0</v>
      </c>
      <c r="K48" s="35">
        <v>16.0</v>
      </c>
      <c r="L48" s="35">
        <v>20.0</v>
      </c>
      <c r="M48" s="35">
        <v>24.0</v>
      </c>
      <c r="N48" s="35">
        <v>21.0</v>
      </c>
      <c r="O48" s="37">
        <f t="shared" si="1"/>
        <v>23</v>
      </c>
    </row>
    <row r="49" ht="15.75" customHeight="1">
      <c r="A49" s="32">
        <v>42.0</v>
      </c>
      <c r="B49" s="33">
        <v>1.6010122058E10</v>
      </c>
      <c r="C49" s="34" t="s">
        <v>72</v>
      </c>
      <c r="D49" s="35">
        <v>25.0</v>
      </c>
      <c r="E49" s="40">
        <v>18.0</v>
      </c>
      <c r="F49" s="35">
        <v>25.0</v>
      </c>
      <c r="G49" s="35">
        <v>22.0</v>
      </c>
      <c r="H49" s="35">
        <v>23.0</v>
      </c>
      <c r="I49" s="35">
        <v>25.0</v>
      </c>
      <c r="J49" s="35">
        <v>18.0</v>
      </c>
      <c r="K49" s="35">
        <v>8.0</v>
      </c>
      <c r="L49" s="35">
        <v>18.0</v>
      </c>
      <c r="M49" s="35">
        <v>20.0</v>
      </c>
      <c r="N49" s="35">
        <v>21.57</v>
      </c>
      <c r="O49" s="37">
        <f t="shared" si="1"/>
        <v>21</v>
      </c>
    </row>
    <row r="50" ht="15.75" customHeight="1">
      <c r="A50" s="43">
        <v>43.0</v>
      </c>
      <c r="B50" s="44">
        <v>1.6010122059E10</v>
      </c>
      <c r="C50" s="45" t="s">
        <v>73</v>
      </c>
      <c r="D50" s="46">
        <v>25.0</v>
      </c>
      <c r="E50" s="47">
        <v>18.0</v>
      </c>
      <c r="F50" s="46">
        <v>22.0</v>
      </c>
      <c r="G50" s="46">
        <v>23.0</v>
      </c>
      <c r="H50" s="46">
        <v>20.0</v>
      </c>
      <c r="I50" s="46">
        <v>23.0</v>
      </c>
      <c r="J50" s="46">
        <v>23.0</v>
      </c>
      <c r="K50" s="46">
        <v>10.0</v>
      </c>
      <c r="L50" s="46">
        <v>23.0</v>
      </c>
      <c r="M50" s="46">
        <v>25.0</v>
      </c>
      <c r="N50" s="46">
        <v>23.0</v>
      </c>
      <c r="O50" s="48">
        <f t="shared" si="1"/>
        <v>22</v>
      </c>
    </row>
    <row r="51" ht="15.75" customHeight="1">
      <c r="A51" s="43">
        <v>44.0</v>
      </c>
      <c r="B51" s="44">
        <v>1.601012206E10</v>
      </c>
      <c r="C51" s="45" t="s">
        <v>74</v>
      </c>
      <c r="D51" s="46">
        <v>25.0</v>
      </c>
      <c r="E51" s="49">
        <v>22.0</v>
      </c>
      <c r="F51" s="46">
        <v>24.0</v>
      </c>
      <c r="G51" s="46">
        <v>23.0</v>
      </c>
      <c r="H51" s="46">
        <v>15.0</v>
      </c>
      <c r="I51" s="46">
        <v>23.0</v>
      </c>
      <c r="J51" s="46">
        <v>25.0</v>
      </c>
      <c r="K51" s="46">
        <v>24.0</v>
      </c>
      <c r="L51" s="46">
        <v>24.0</v>
      </c>
      <c r="M51" s="46">
        <v>25.0</v>
      </c>
      <c r="N51" s="46">
        <v>18.75</v>
      </c>
      <c r="O51" s="48">
        <f t="shared" si="1"/>
        <v>23</v>
      </c>
    </row>
    <row r="52" ht="15.75" customHeight="1">
      <c r="A52" s="43">
        <v>45.0</v>
      </c>
      <c r="B52" s="44">
        <v>1.6010122062E10</v>
      </c>
      <c r="C52" s="45" t="s">
        <v>75</v>
      </c>
      <c r="D52" s="46">
        <v>25.0</v>
      </c>
      <c r="E52" s="49">
        <v>18.0</v>
      </c>
      <c r="F52" s="46">
        <v>15.0</v>
      </c>
      <c r="G52" s="46">
        <v>23.0</v>
      </c>
      <c r="H52" s="46">
        <v>7.0</v>
      </c>
      <c r="I52" s="46">
        <v>17.0</v>
      </c>
      <c r="J52" s="46">
        <v>12.0</v>
      </c>
      <c r="K52" s="46">
        <v>25.0</v>
      </c>
      <c r="L52" s="46">
        <v>15.0</v>
      </c>
      <c r="M52" s="46">
        <v>10.0</v>
      </c>
      <c r="N52" s="46">
        <v>12.0</v>
      </c>
      <c r="O52" s="48">
        <f t="shared" si="1"/>
        <v>17</v>
      </c>
    </row>
    <row r="53" ht="15.75" customHeight="1">
      <c r="A53" s="43">
        <v>46.0</v>
      </c>
      <c r="B53" s="44">
        <v>1.6010122064E10</v>
      </c>
      <c r="C53" s="45" t="s">
        <v>76</v>
      </c>
      <c r="D53" s="46">
        <v>25.0</v>
      </c>
      <c r="E53" s="49">
        <v>20.0</v>
      </c>
      <c r="F53" s="46">
        <v>12.0</v>
      </c>
      <c r="G53" s="46">
        <v>23.0</v>
      </c>
      <c r="H53" s="46">
        <v>10.0</v>
      </c>
      <c r="I53" s="46">
        <v>23.0</v>
      </c>
      <c r="J53" s="46">
        <v>22.0</v>
      </c>
      <c r="K53" s="46">
        <v>15.0</v>
      </c>
      <c r="L53" s="46">
        <v>20.0</v>
      </c>
      <c r="M53" s="46">
        <v>21.0</v>
      </c>
      <c r="N53" s="46">
        <v>25.0</v>
      </c>
      <c r="O53" s="48">
        <f t="shared" si="1"/>
        <v>20</v>
      </c>
    </row>
    <row r="54" ht="15.75" customHeight="1">
      <c r="A54" s="43">
        <v>47.0</v>
      </c>
      <c r="B54" s="44">
        <v>1.6010122065E10</v>
      </c>
      <c r="C54" s="45" t="s">
        <v>77</v>
      </c>
      <c r="D54" s="46">
        <v>25.0</v>
      </c>
      <c r="E54" s="49">
        <v>24.0</v>
      </c>
      <c r="F54" s="46">
        <v>23.0</v>
      </c>
      <c r="G54" s="46">
        <v>25.0</v>
      </c>
      <c r="H54" s="46">
        <v>24.0</v>
      </c>
      <c r="I54" s="46">
        <v>25.0</v>
      </c>
      <c r="J54" s="46">
        <v>25.0</v>
      </c>
      <c r="K54" s="46">
        <v>25.0</v>
      </c>
      <c r="L54" s="46">
        <v>24.0</v>
      </c>
      <c r="M54" s="46">
        <v>25.0</v>
      </c>
      <c r="N54" s="46">
        <v>25.0</v>
      </c>
      <c r="O54" s="48">
        <f t="shared" si="1"/>
        <v>25</v>
      </c>
    </row>
    <row r="55" ht="15.75" customHeight="1">
      <c r="A55" s="43">
        <v>48.0</v>
      </c>
      <c r="B55" s="44">
        <v>1.6010122066E10</v>
      </c>
      <c r="C55" s="45" t="s">
        <v>78</v>
      </c>
      <c r="D55" s="46">
        <v>21.0</v>
      </c>
      <c r="E55" s="49">
        <v>22.0</v>
      </c>
      <c r="F55" s="46">
        <v>23.0</v>
      </c>
      <c r="G55" s="46">
        <v>20.0</v>
      </c>
      <c r="H55" s="46">
        <v>10.0</v>
      </c>
      <c r="I55" s="46">
        <v>23.0</v>
      </c>
      <c r="J55" s="46">
        <v>22.0</v>
      </c>
      <c r="K55" s="46">
        <v>22.0</v>
      </c>
      <c r="L55" s="29">
        <v>14.0</v>
      </c>
      <c r="M55" s="46">
        <v>25.0</v>
      </c>
      <c r="N55" s="46">
        <v>21.0</v>
      </c>
      <c r="O55" s="48">
        <f t="shared" si="1"/>
        <v>21</v>
      </c>
    </row>
    <row r="56" ht="15.75" customHeight="1">
      <c r="A56" s="43">
        <v>49.0</v>
      </c>
      <c r="B56" s="44">
        <v>1.6010122069E10</v>
      </c>
      <c r="C56" s="45" t="s">
        <v>79</v>
      </c>
      <c r="D56" s="46">
        <v>23.0</v>
      </c>
      <c r="E56" s="49">
        <v>20.0</v>
      </c>
      <c r="F56" s="28">
        <v>0.0</v>
      </c>
      <c r="G56" s="46">
        <v>21.0</v>
      </c>
      <c r="H56" s="46">
        <v>17.0</v>
      </c>
      <c r="I56" s="46">
        <v>20.0</v>
      </c>
      <c r="J56" s="46">
        <v>20.0</v>
      </c>
      <c r="K56" s="46">
        <v>13.0</v>
      </c>
      <c r="L56" s="46">
        <v>15.0</v>
      </c>
      <c r="M56" s="46">
        <v>21.0</v>
      </c>
      <c r="N56" s="28">
        <v>0.0</v>
      </c>
      <c r="O56" s="48">
        <f t="shared" si="1"/>
        <v>16</v>
      </c>
    </row>
    <row r="57" ht="15.75" customHeight="1">
      <c r="A57" s="43">
        <v>50.0</v>
      </c>
      <c r="B57" s="44">
        <v>1.601012207E10</v>
      </c>
      <c r="C57" s="45" t="s">
        <v>80</v>
      </c>
      <c r="D57" s="46">
        <v>25.0</v>
      </c>
      <c r="E57" s="49">
        <v>24.0</v>
      </c>
      <c r="F57" s="46">
        <v>20.0</v>
      </c>
      <c r="G57" s="46">
        <v>23.0</v>
      </c>
      <c r="H57" s="46">
        <v>20.0</v>
      </c>
      <c r="I57" s="46">
        <v>25.0</v>
      </c>
      <c r="J57" s="46">
        <v>23.0</v>
      </c>
      <c r="K57" s="46">
        <v>20.0</v>
      </c>
      <c r="L57" s="46">
        <v>24.0</v>
      </c>
      <c r="M57" s="46">
        <v>8.0</v>
      </c>
      <c r="N57" s="46">
        <v>23.0</v>
      </c>
      <c r="O57" s="48">
        <f t="shared" si="1"/>
        <v>22</v>
      </c>
    </row>
    <row r="58" ht="15.75" customHeight="1">
      <c r="A58" s="43">
        <v>51.0</v>
      </c>
      <c r="B58" s="44">
        <v>1.6010122071E10</v>
      </c>
      <c r="C58" s="45" t="s">
        <v>81</v>
      </c>
      <c r="D58" s="46">
        <v>25.0</v>
      </c>
      <c r="E58" s="30">
        <v>14.0</v>
      </c>
      <c r="F58" s="46">
        <v>22.0</v>
      </c>
      <c r="G58" s="46">
        <v>21.0</v>
      </c>
      <c r="H58" s="46">
        <v>18.0</v>
      </c>
      <c r="I58" s="46">
        <v>25.0</v>
      </c>
      <c r="J58" s="46">
        <v>24.0</v>
      </c>
      <c r="K58" s="28">
        <v>0.0</v>
      </c>
      <c r="L58" s="46">
        <v>21.0</v>
      </c>
      <c r="M58" s="46">
        <v>22.0</v>
      </c>
      <c r="N58" s="46">
        <v>18.0</v>
      </c>
      <c r="O58" s="48">
        <f t="shared" si="1"/>
        <v>20</v>
      </c>
    </row>
    <row r="59" ht="15.75" customHeight="1">
      <c r="A59" s="43">
        <v>52.0</v>
      </c>
      <c r="B59" s="44">
        <v>1.6010122072E10</v>
      </c>
      <c r="C59" s="45" t="s">
        <v>82</v>
      </c>
      <c r="D59" s="46">
        <v>25.0</v>
      </c>
      <c r="E59" s="49">
        <v>21.0</v>
      </c>
      <c r="F59" s="46">
        <v>13.0</v>
      </c>
      <c r="G59" s="46">
        <v>21.0</v>
      </c>
      <c r="H59" s="46">
        <v>17.0</v>
      </c>
      <c r="I59" s="46">
        <v>25.0</v>
      </c>
      <c r="J59" s="46">
        <v>23.0</v>
      </c>
      <c r="K59" s="46">
        <v>14.0</v>
      </c>
      <c r="L59" s="46">
        <v>23.0</v>
      </c>
      <c r="M59" s="46">
        <v>23.0</v>
      </c>
      <c r="N59" s="46">
        <v>23.0</v>
      </c>
      <c r="O59" s="48">
        <f t="shared" si="1"/>
        <v>21</v>
      </c>
    </row>
    <row r="60" ht="15.75" customHeight="1">
      <c r="A60" s="43">
        <v>6.0</v>
      </c>
      <c r="B60" s="44">
        <v>1.6010122073E10</v>
      </c>
      <c r="C60" s="45" t="s">
        <v>83</v>
      </c>
      <c r="D60" s="46">
        <v>25.0</v>
      </c>
      <c r="E60" s="49">
        <v>22.0</v>
      </c>
      <c r="F60" s="46">
        <v>23.0</v>
      </c>
      <c r="G60" s="46">
        <v>23.0</v>
      </c>
      <c r="H60" s="46">
        <v>24.0</v>
      </c>
      <c r="I60" s="46">
        <v>23.0</v>
      </c>
      <c r="J60" s="46">
        <v>23.0</v>
      </c>
      <c r="K60" s="46">
        <v>15.0</v>
      </c>
      <c r="L60" s="46">
        <v>23.0</v>
      </c>
      <c r="M60" s="46">
        <v>23.0</v>
      </c>
      <c r="N60" s="46">
        <v>25.0</v>
      </c>
      <c r="O60" s="48">
        <f t="shared" si="1"/>
        <v>23</v>
      </c>
    </row>
    <row r="61" ht="15.75" customHeight="1">
      <c r="A61" s="43">
        <v>54.0</v>
      </c>
      <c r="B61" s="44">
        <v>1.6010122074E10</v>
      </c>
      <c r="C61" s="45" t="s">
        <v>84</v>
      </c>
      <c r="D61" s="46">
        <v>25.0</v>
      </c>
      <c r="E61" s="49">
        <v>24.0</v>
      </c>
      <c r="F61" s="46">
        <v>20.0</v>
      </c>
      <c r="G61" s="46">
        <v>23.0</v>
      </c>
      <c r="H61" s="46">
        <v>23.0</v>
      </c>
      <c r="I61" s="46">
        <v>25.0</v>
      </c>
      <c r="J61" s="29">
        <v>15.0</v>
      </c>
      <c r="K61" s="46">
        <v>2.0</v>
      </c>
      <c r="L61" s="46">
        <v>24.0</v>
      </c>
      <c r="M61" s="46">
        <v>25.0</v>
      </c>
      <c r="N61" s="46">
        <v>23.0</v>
      </c>
      <c r="O61" s="48">
        <f t="shared" si="1"/>
        <v>21</v>
      </c>
    </row>
    <row r="62" ht="15.75" customHeight="1">
      <c r="A62" s="43">
        <v>55.0</v>
      </c>
      <c r="B62" s="44">
        <v>1.6010122075E10</v>
      </c>
      <c r="C62" s="45" t="s">
        <v>85</v>
      </c>
      <c r="D62" s="46">
        <v>25.0</v>
      </c>
      <c r="E62" s="49">
        <v>20.0</v>
      </c>
      <c r="F62" s="46">
        <v>25.0</v>
      </c>
      <c r="G62" s="46">
        <v>22.0</v>
      </c>
      <c r="H62" s="46">
        <v>23.0</v>
      </c>
      <c r="I62" s="46">
        <v>22.0</v>
      </c>
      <c r="J62" s="46">
        <v>22.0</v>
      </c>
      <c r="K62" s="46">
        <v>15.0</v>
      </c>
      <c r="L62" s="46">
        <v>23.0</v>
      </c>
      <c r="M62" s="46">
        <v>21.0</v>
      </c>
      <c r="N62" s="46">
        <v>18.75</v>
      </c>
      <c r="O62" s="48">
        <f t="shared" si="1"/>
        <v>22</v>
      </c>
    </row>
    <row r="63" ht="15.75" customHeight="1">
      <c r="A63" s="43">
        <v>56.0</v>
      </c>
      <c r="B63" s="44">
        <v>1.6010122077E10</v>
      </c>
      <c r="C63" s="45" t="s">
        <v>86</v>
      </c>
      <c r="D63" s="46">
        <v>25.0</v>
      </c>
      <c r="E63" s="49">
        <v>23.0</v>
      </c>
      <c r="F63" s="46">
        <v>23.0</v>
      </c>
      <c r="G63" s="46">
        <v>23.0</v>
      </c>
      <c r="H63" s="46">
        <v>20.0</v>
      </c>
      <c r="I63" s="46">
        <v>25.0</v>
      </c>
      <c r="J63" s="46">
        <v>25.0</v>
      </c>
      <c r="K63" s="46">
        <v>8.0</v>
      </c>
      <c r="L63" s="46">
        <v>20.0</v>
      </c>
      <c r="M63" s="46">
        <v>17.0</v>
      </c>
      <c r="N63" s="46">
        <v>23.0</v>
      </c>
      <c r="O63" s="48">
        <f t="shared" si="1"/>
        <v>22</v>
      </c>
    </row>
    <row r="64" ht="15.75" customHeight="1">
      <c r="A64" s="50">
        <v>57.0</v>
      </c>
      <c r="B64" s="44">
        <v>1.6010122078E10</v>
      </c>
      <c r="C64" s="45" t="s">
        <v>87</v>
      </c>
      <c r="D64" s="46">
        <v>20.0</v>
      </c>
      <c r="E64" s="49">
        <v>24.0</v>
      </c>
      <c r="F64" s="46">
        <v>25.0</v>
      </c>
      <c r="G64" s="46">
        <v>23.0</v>
      </c>
      <c r="H64" s="46">
        <v>24.0</v>
      </c>
      <c r="I64" s="46">
        <v>25.0</v>
      </c>
      <c r="J64" s="51">
        <v>23.0</v>
      </c>
      <c r="K64" s="51">
        <v>6.0</v>
      </c>
      <c r="L64" s="51">
        <v>23.0</v>
      </c>
      <c r="M64" s="51">
        <v>23.0</v>
      </c>
      <c r="N64" s="51">
        <v>19.0</v>
      </c>
      <c r="O64" s="48">
        <f t="shared" si="1"/>
        <v>22</v>
      </c>
    </row>
    <row r="65" ht="15.75" customHeight="1">
      <c r="A65" s="50">
        <v>58.0</v>
      </c>
      <c r="B65" s="44">
        <v>1.601012208E10</v>
      </c>
      <c r="C65" s="45" t="s">
        <v>88</v>
      </c>
      <c r="D65" s="46">
        <v>25.0</v>
      </c>
      <c r="E65" s="30">
        <v>11.0</v>
      </c>
      <c r="F65" s="46">
        <v>20.0</v>
      </c>
      <c r="G65" s="46">
        <v>20.0</v>
      </c>
      <c r="H65" s="46">
        <v>19.0</v>
      </c>
      <c r="I65" s="46">
        <v>25.0</v>
      </c>
      <c r="J65" s="52">
        <v>0.0</v>
      </c>
      <c r="K65" s="51">
        <v>15.0</v>
      </c>
      <c r="L65" s="51">
        <v>20.0</v>
      </c>
      <c r="M65" s="51">
        <v>25.0</v>
      </c>
      <c r="N65" s="51">
        <v>25.0</v>
      </c>
      <c r="O65" s="48">
        <f t="shared" si="1"/>
        <v>19</v>
      </c>
    </row>
    <row r="66" ht="15.75" customHeight="1">
      <c r="A66" s="50">
        <v>59.0</v>
      </c>
      <c r="B66" s="44">
        <v>1.6010122081E10</v>
      </c>
      <c r="C66" s="45" t="s">
        <v>89</v>
      </c>
      <c r="D66" s="46">
        <v>25.0</v>
      </c>
      <c r="E66" s="49">
        <v>18.0</v>
      </c>
      <c r="F66" s="46">
        <v>19.0</v>
      </c>
      <c r="G66" s="46">
        <v>23.0</v>
      </c>
      <c r="H66" s="46">
        <v>11.0</v>
      </c>
      <c r="I66" s="46">
        <v>23.0</v>
      </c>
      <c r="J66" s="51">
        <v>21.0</v>
      </c>
      <c r="K66" s="52">
        <v>0.0</v>
      </c>
      <c r="L66" s="51">
        <v>15.0</v>
      </c>
      <c r="M66" s="51">
        <v>20.0</v>
      </c>
      <c r="N66" s="51">
        <v>23.0</v>
      </c>
      <c r="O66" s="48">
        <f t="shared" si="1"/>
        <v>18</v>
      </c>
    </row>
    <row r="67" ht="15.75" customHeight="1">
      <c r="A67" s="50">
        <v>60.0</v>
      </c>
      <c r="B67" s="44">
        <v>1.6010122082E10</v>
      </c>
      <c r="C67" s="45" t="s">
        <v>90</v>
      </c>
      <c r="D67" s="46">
        <v>25.0</v>
      </c>
      <c r="E67" s="49">
        <v>23.0</v>
      </c>
      <c r="F67" s="46">
        <v>18.0</v>
      </c>
      <c r="G67" s="46">
        <v>23.0</v>
      </c>
      <c r="H67" s="46">
        <v>21.0</v>
      </c>
      <c r="I67" s="46">
        <v>23.0</v>
      </c>
      <c r="J67" s="51">
        <v>24.0</v>
      </c>
      <c r="K67" s="51">
        <v>12.0</v>
      </c>
      <c r="L67" s="51">
        <v>22.0</v>
      </c>
      <c r="M67" s="51">
        <v>25.0</v>
      </c>
      <c r="N67" s="51">
        <v>15.5</v>
      </c>
      <c r="O67" s="48">
        <f t="shared" si="1"/>
        <v>22</v>
      </c>
    </row>
    <row r="68" ht="15.75" customHeight="1">
      <c r="A68" s="50">
        <v>61.0</v>
      </c>
      <c r="B68" s="44">
        <v>1.6010122083E10</v>
      </c>
      <c r="C68" s="45" t="s">
        <v>91</v>
      </c>
      <c r="D68" s="46">
        <v>25.0</v>
      </c>
      <c r="E68" s="49">
        <v>24.0</v>
      </c>
      <c r="F68" s="46">
        <v>23.0</v>
      </c>
      <c r="G68" s="46">
        <v>23.0</v>
      </c>
      <c r="H68" s="46">
        <v>25.0</v>
      </c>
      <c r="I68" s="46">
        <v>25.0</v>
      </c>
      <c r="J68" s="51">
        <v>23.0</v>
      </c>
      <c r="K68" s="51">
        <v>22.0</v>
      </c>
      <c r="L68" s="51">
        <v>15.0</v>
      </c>
      <c r="M68" s="51">
        <v>24.0</v>
      </c>
      <c r="N68" s="51">
        <v>15.75</v>
      </c>
      <c r="O68" s="48">
        <f t="shared" si="1"/>
        <v>23</v>
      </c>
    </row>
    <row r="69" ht="15.75" customHeight="1">
      <c r="A69" s="50">
        <v>62.0</v>
      </c>
      <c r="B69" s="44">
        <v>1.6010122084E10</v>
      </c>
      <c r="C69" s="45" t="s">
        <v>92</v>
      </c>
      <c r="D69" s="46">
        <v>20.0</v>
      </c>
      <c r="E69" s="47">
        <v>20.0</v>
      </c>
      <c r="F69" s="46">
        <v>14.0</v>
      </c>
      <c r="G69" s="46">
        <v>21.0</v>
      </c>
      <c r="H69" s="46">
        <v>20.0</v>
      </c>
      <c r="I69" s="29">
        <v>10.0</v>
      </c>
      <c r="J69" s="52">
        <v>0.0</v>
      </c>
      <c r="K69" s="52">
        <v>0.0</v>
      </c>
      <c r="L69" s="51">
        <v>18.0</v>
      </c>
      <c r="M69" s="51">
        <v>19.0</v>
      </c>
      <c r="N69" s="51">
        <v>18.5</v>
      </c>
      <c r="O69" s="48">
        <f t="shared" si="1"/>
        <v>15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4">
    <mergeCell ref="A1:O1"/>
    <mergeCell ref="A2:O2"/>
    <mergeCell ref="A3:O3"/>
    <mergeCell ref="A4:O4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3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5.75" customHeight="1">
      <c r="A3" s="1" t="s">
        <v>93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</row>
    <row r="4" ht="15.75" customHeight="1">
      <c r="A4" s="4" t="s">
        <v>94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5.75" customHeight="1">
      <c r="A5" s="5"/>
      <c r="B5" s="5"/>
      <c r="C5" s="5" t="s">
        <v>4</v>
      </c>
      <c r="D5" s="5">
        <v>20.0</v>
      </c>
      <c r="E5" s="53" t="s">
        <v>95</v>
      </c>
      <c r="F5" s="2"/>
      <c r="G5" s="2"/>
      <c r="H5" s="3"/>
      <c r="I5" s="6">
        <v>20.0</v>
      </c>
      <c r="J5" s="6">
        <v>30.0</v>
      </c>
      <c r="K5" s="54">
        <v>50.0</v>
      </c>
      <c r="L5" s="5"/>
      <c r="M5" s="5"/>
      <c r="N5" s="5"/>
      <c r="O5" s="5"/>
      <c r="P5" s="5"/>
      <c r="Q5" s="5"/>
      <c r="R5" s="5"/>
    </row>
    <row r="6" ht="15.75" customHeight="1">
      <c r="A6" s="5" t="s">
        <v>5</v>
      </c>
      <c r="B6" s="5" t="s">
        <v>6</v>
      </c>
      <c r="C6" s="5" t="s">
        <v>7</v>
      </c>
      <c r="D6" s="55" t="s">
        <v>96</v>
      </c>
      <c r="E6" s="56" t="s">
        <v>97</v>
      </c>
      <c r="F6" s="56" t="s">
        <v>98</v>
      </c>
      <c r="G6" s="56" t="s">
        <v>99</v>
      </c>
      <c r="H6" s="57" t="s">
        <v>100</v>
      </c>
      <c r="I6" s="6" t="s">
        <v>101</v>
      </c>
      <c r="J6" s="6" t="s">
        <v>102</v>
      </c>
      <c r="K6" s="54" t="s">
        <v>103</v>
      </c>
      <c r="L6" s="5"/>
      <c r="M6" s="5"/>
      <c r="N6" s="5"/>
      <c r="O6" s="5"/>
      <c r="P6" s="5"/>
      <c r="Q6" s="5"/>
      <c r="R6" s="5"/>
    </row>
    <row r="7" ht="15.75" customHeight="1">
      <c r="A7" s="5">
        <v>1.0</v>
      </c>
      <c r="B7" s="58">
        <v>1.6010122001E10</v>
      </c>
      <c r="C7" s="59" t="s">
        <v>31</v>
      </c>
      <c r="D7" s="57">
        <v>19.0</v>
      </c>
      <c r="E7" s="57">
        <v>2.0</v>
      </c>
      <c r="F7" s="57">
        <v>4.0</v>
      </c>
      <c r="G7" s="57">
        <v>6.0</v>
      </c>
      <c r="H7" s="60">
        <f t="shared" ref="H7:H68" si="1">SUM(E7:G7)</f>
        <v>12</v>
      </c>
      <c r="I7" s="6">
        <f t="shared" ref="I7:I68" si="2">(D7+H7)/2</f>
        <v>15.5</v>
      </c>
      <c r="J7" s="61">
        <v>28.0</v>
      </c>
      <c r="K7" s="54">
        <f t="shared" ref="K7:K68" si="3">ROUND(I7+J7,0)</f>
        <v>44</v>
      </c>
      <c r="L7" s="62"/>
      <c r="M7" s="62"/>
      <c r="N7" s="62"/>
      <c r="O7" s="62"/>
      <c r="P7" s="62"/>
      <c r="Q7" s="62"/>
      <c r="R7" s="62"/>
    </row>
    <row r="8" ht="15.75" customHeight="1">
      <c r="A8" s="5">
        <v>2.0</v>
      </c>
      <c r="B8" s="63">
        <v>1.6010122002E10</v>
      </c>
      <c r="C8" s="64" t="s">
        <v>32</v>
      </c>
      <c r="D8" s="65">
        <v>20.0</v>
      </c>
      <c r="E8" s="65">
        <v>5.0</v>
      </c>
      <c r="F8" s="65">
        <v>5.0</v>
      </c>
      <c r="G8" s="65">
        <v>5.0</v>
      </c>
      <c r="H8" s="60">
        <f t="shared" si="1"/>
        <v>15</v>
      </c>
      <c r="I8" s="6">
        <f t="shared" si="2"/>
        <v>17.5</v>
      </c>
      <c r="J8" s="66">
        <v>29.0</v>
      </c>
      <c r="K8" s="54">
        <f t="shared" si="3"/>
        <v>47</v>
      </c>
      <c r="L8" s="62"/>
      <c r="M8" s="62"/>
      <c r="N8" s="62"/>
      <c r="O8" s="62"/>
      <c r="P8" s="62"/>
      <c r="Q8" s="62"/>
      <c r="R8" s="62"/>
    </row>
    <row r="9" ht="15.75" customHeight="1">
      <c r="A9" s="5">
        <v>3.0</v>
      </c>
      <c r="B9" s="63">
        <v>1.6010122004E10</v>
      </c>
      <c r="C9" s="64" t="s">
        <v>33</v>
      </c>
      <c r="D9" s="65">
        <v>20.0</v>
      </c>
      <c r="E9" s="65">
        <v>2.0</v>
      </c>
      <c r="F9" s="65">
        <v>3.0</v>
      </c>
      <c r="G9" s="65">
        <v>7.0</v>
      </c>
      <c r="H9" s="60">
        <f t="shared" si="1"/>
        <v>12</v>
      </c>
      <c r="I9" s="6">
        <f t="shared" si="2"/>
        <v>16</v>
      </c>
      <c r="J9" s="66">
        <v>27.0</v>
      </c>
      <c r="K9" s="54">
        <f t="shared" si="3"/>
        <v>43</v>
      </c>
      <c r="L9" s="62"/>
      <c r="M9" s="62"/>
      <c r="N9" s="62"/>
      <c r="O9" s="62"/>
      <c r="P9" s="62"/>
      <c r="Q9" s="62"/>
      <c r="R9" s="62"/>
    </row>
    <row r="10" ht="15.75" customHeight="1">
      <c r="A10" s="5">
        <v>4.0</v>
      </c>
      <c r="B10" s="63">
        <v>1.6010122005E10</v>
      </c>
      <c r="C10" s="64" t="s">
        <v>34</v>
      </c>
      <c r="D10" s="65">
        <v>17.0</v>
      </c>
      <c r="E10" s="65">
        <v>5.0</v>
      </c>
      <c r="F10" s="65">
        <v>4.0</v>
      </c>
      <c r="G10" s="65">
        <v>9.0</v>
      </c>
      <c r="H10" s="60">
        <f t="shared" si="1"/>
        <v>18</v>
      </c>
      <c r="I10" s="6">
        <f t="shared" si="2"/>
        <v>17.5</v>
      </c>
      <c r="J10" s="66">
        <v>29.0</v>
      </c>
      <c r="K10" s="54">
        <f t="shared" si="3"/>
        <v>47</v>
      </c>
      <c r="L10" s="62"/>
      <c r="M10" s="62"/>
      <c r="N10" s="62"/>
      <c r="O10" s="62"/>
      <c r="P10" s="62"/>
      <c r="Q10" s="62"/>
      <c r="R10" s="62"/>
    </row>
    <row r="11" ht="15.75" customHeight="1">
      <c r="A11" s="5">
        <v>5.0</v>
      </c>
      <c r="B11" s="63">
        <v>1.6010122008E10</v>
      </c>
      <c r="C11" s="64" t="s">
        <v>35</v>
      </c>
      <c r="D11" s="65">
        <v>19.0</v>
      </c>
      <c r="E11" s="65">
        <v>5.0</v>
      </c>
      <c r="F11" s="65">
        <v>4.0</v>
      </c>
      <c r="G11" s="65">
        <v>10.0</v>
      </c>
      <c r="H11" s="60">
        <f t="shared" si="1"/>
        <v>19</v>
      </c>
      <c r="I11" s="6">
        <f t="shared" si="2"/>
        <v>19</v>
      </c>
      <c r="J11" s="66">
        <v>27.0</v>
      </c>
      <c r="K11" s="54">
        <f t="shared" si="3"/>
        <v>46</v>
      </c>
      <c r="L11" s="62"/>
      <c r="M11" s="62"/>
      <c r="N11" s="62"/>
      <c r="O11" s="62"/>
      <c r="P11" s="62"/>
      <c r="Q11" s="62"/>
      <c r="R11" s="62"/>
    </row>
    <row r="12" ht="15.75" customHeight="1">
      <c r="A12" s="5">
        <v>6.0</v>
      </c>
      <c r="B12" s="63">
        <v>1.601012201E10</v>
      </c>
      <c r="C12" s="64" t="s">
        <v>36</v>
      </c>
      <c r="D12" s="65">
        <v>11.0</v>
      </c>
      <c r="E12" s="65">
        <v>3.0</v>
      </c>
      <c r="F12" s="65">
        <v>2.0</v>
      </c>
      <c r="G12" s="65">
        <v>7.0</v>
      </c>
      <c r="H12" s="60">
        <f t="shared" si="1"/>
        <v>12</v>
      </c>
      <c r="I12" s="6">
        <f t="shared" si="2"/>
        <v>11.5</v>
      </c>
      <c r="J12" s="66">
        <v>24.0</v>
      </c>
      <c r="K12" s="54">
        <f t="shared" si="3"/>
        <v>36</v>
      </c>
      <c r="L12" s="62"/>
      <c r="M12" s="62"/>
      <c r="N12" s="62"/>
      <c r="O12" s="62"/>
      <c r="P12" s="62"/>
      <c r="Q12" s="62"/>
      <c r="R12" s="62"/>
    </row>
    <row r="13" ht="15.75" customHeight="1">
      <c r="A13" s="5">
        <v>7.0</v>
      </c>
      <c r="B13" s="63">
        <v>1.6010122011E10</v>
      </c>
      <c r="C13" s="64" t="s">
        <v>37</v>
      </c>
      <c r="D13" s="65">
        <v>11.0</v>
      </c>
      <c r="E13" s="65">
        <v>2.0</v>
      </c>
      <c r="F13" s="65">
        <v>3.0</v>
      </c>
      <c r="G13" s="65">
        <v>8.0</v>
      </c>
      <c r="H13" s="60">
        <f t="shared" si="1"/>
        <v>13</v>
      </c>
      <c r="I13" s="6">
        <f t="shared" si="2"/>
        <v>12</v>
      </c>
      <c r="J13" s="66">
        <v>19.0</v>
      </c>
      <c r="K13" s="54">
        <f t="shared" si="3"/>
        <v>31</v>
      </c>
      <c r="L13" s="62"/>
      <c r="M13" s="62"/>
      <c r="N13" s="62"/>
      <c r="O13" s="62"/>
      <c r="P13" s="62"/>
      <c r="Q13" s="62"/>
      <c r="R13" s="62"/>
    </row>
    <row r="14" ht="15.75" customHeight="1">
      <c r="A14" s="5">
        <v>8.0</v>
      </c>
      <c r="B14" s="63">
        <v>1.6010122012E10</v>
      </c>
      <c r="C14" s="64" t="s">
        <v>38</v>
      </c>
      <c r="D14" s="65">
        <v>17.0</v>
      </c>
      <c r="E14" s="65">
        <v>0.0</v>
      </c>
      <c r="F14" s="65">
        <v>2.0</v>
      </c>
      <c r="G14" s="65">
        <v>7.0</v>
      </c>
      <c r="H14" s="60">
        <f t="shared" si="1"/>
        <v>9</v>
      </c>
      <c r="I14" s="6">
        <f t="shared" si="2"/>
        <v>13</v>
      </c>
      <c r="J14" s="66">
        <v>22.0</v>
      </c>
      <c r="K14" s="54">
        <f t="shared" si="3"/>
        <v>35</v>
      </c>
      <c r="L14" s="62"/>
      <c r="M14" s="62"/>
      <c r="N14" s="62"/>
      <c r="O14" s="62"/>
      <c r="P14" s="62"/>
      <c r="Q14" s="62"/>
      <c r="R14" s="62"/>
    </row>
    <row r="15" ht="15.75" customHeight="1">
      <c r="A15" s="5">
        <v>9.0</v>
      </c>
      <c r="B15" s="63">
        <v>1.6010122014E10</v>
      </c>
      <c r="C15" s="64" t="s">
        <v>39</v>
      </c>
      <c r="D15" s="65">
        <v>16.0</v>
      </c>
      <c r="E15" s="65">
        <v>0.0</v>
      </c>
      <c r="F15" s="65">
        <v>3.0</v>
      </c>
      <c r="G15" s="65">
        <v>8.0</v>
      </c>
      <c r="H15" s="60">
        <f t="shared" si="1"/>
        <v>11</v>
      </c>
      <c r="I15" s="6">
        <f t="shared" si="2"/>
        <v>13.5</v>
      </c>
      <c r="J15" s="66">
        <v>28.0</v>
      </c>
      <c r="K15" s="54">
        <f t="shared" si="3"/>
        <v>42</v>
      </c>
      <c r="L15" s="62"/>
      <c r="M15" s="62"/>
      <c r="N15" s="62"/>
      <c r="O15" s="62"/>
      <c r="P15" s="62"/>
      <c r="Q15" s="62"/>
      <c r="R15" s="62"/>
    </row>
    <row r="16" ht="15.75" customHeight="1">
      <c r="A16" s="5">
        <v>10.0</v>
      </c>
      <c r="B16" s="63">
        <v>1.6010122015E10</v>
      </c>
      <c r="C16" s="64" t="s">
        <v>40</v>
      </c>
      <c r="D16" s="65">
        <v>20.0</v>
      </c>
      <c r="E16" s="65">
        <v>4.0</v>
      </c>
      <c r="F16" s="65">
        <v>4.0</v>
      </c>
      <c r="G16" s="65">
        <v>8.0</v>
      </c>
      <c r="H16" s="60">
        <f t="shared" si="1"/>
        <v>16</v>
      </c>
      <c r="I16" s="6">
        <f t="shared" si="2"/>
        <v>18</v>
      </c>
      <c r="J16" s="66">
        <v>22.0</v>
      </c>
      <c r="K16" s="54">
        <f t="shared" si="3"/>
        <v>40</v>
      </c>
      <c r="L16" s="62"/>
      <c r="M16" s="62"/>
      <c r="N16" s="62"/>
      <c r="O16" s="62"/>
      <c r="P16" s="62"/>
      <c r="Q16" s="62"/>
      <c r="R16" s="62"/>
    </row>
    <row r="17" ht="15.75" customHeight="1">
      <c r="A17" s="5">
        <v>11.0</v>
      </c>
      <c r="B17" s="63">
        <v>1.6010122016E10</v>
      </c>
      <c r="C17" s="64" t="s">
        <v>41</v>
      </c>
      <c r="D17" s="65">
        <v>19.0</v>
      </c>
      <c r="E17" s="65">
        <v>2.0</v>
      </c>
      <c r="F17" s="65">
        <v>3.0</v>
      </c>
      <c r="G17" s="65">
        <v>5.0</v>
      </c>
      <c r="H17" s="60">
        <f t="shared" si="1"/>
        <v>10</v>
      </c>
      <c r="I17" s="6">
        <f t="shared" si="2"/>
        <v>14.5</v>
      </c>
      <c r="J17" s="66">
        <v>12.0</v>
      </c>
      <c r="K17" s="54">
        <f t="shared" si="3"/>
        <v>27</v>
      </c>
      <c r="L17" s="62"/>
      <c r="M17" s="62"/>
      <c r="N17" s="62"/>
      <c r="O17" s="62"/>
      <c r="P17" s="62"/>
      <c r="Q17" s="62"/>
      <c r="R17" s="62"/>
    </row>
    <row r="18" ht="15.75" customHeight="1">
      <c r="A18" s="5">
        <v>12.0</v>
      </c>
      <c r="B18" s="63">
        <v>1.6010122017E10</v>
      </c>
      <c r="C18" s="64" t="s">
        <v>42</v>
      </c>
      <c r="D18" s="65">
        <v>20.0</v>
      </c>
      <c r="E18" s="65">
        <v>5.0</v>
      </c>
      <c r="F18" s="65">
        <v>5.0</v>
      </c>
      <c r="G18" s="65">
        <v>8.0</v>
      </c>
      <c r="H18" s="60">
        <f t="shared" si="1"/>
        <v>18</v>
      </c>
      <c r="I18" s="6">
        <f t="shared" si="2"/>
        <v>19</v>
      </c>
      <c r="J18" s="66">
        <v>24.0</v>
      </c>
      <c r="K18" s="54">
        <f t="shared" si="3"/>
        <v>43</v>
      </c>
      <c r="L18" s="62"/>
      <c r="M18" s="62"/>
      <c r="N18" s="62"/>
      <c r="O18" s="62"/>
      <c r="P18" s="62"/>
      <c r="Q18" s="62"/>
      <c r="R18" s="62"/>
    </row>
    <row r="19" ht="15.75" customHeight="1">
      <c r="A19" s="5">
        <v>13.0</v>
      </c>
      <c r="B19" s="63">
        <v>1.6010122018E10</v>
      </c>
      <c r="C19" s="64" t="s">
        <v>43</v>
      </c>
      <c r="D19" s="65">
        <v>17.0</v>
      </c>
      <c r="E19" s="65">
        <v>2.0</v>
      </c>
      <c r="F19" s="65">
        <v>3.0</v>
      </c>
      <c r="G19" s="65">
        <v>7.0</v>
      </c>
      <c r="H19" s="60">
        <f t="shared" si="1"/>
        <v>12</v>
      </c>
      <c r="I19" s="6">
        <f t="shared" si="2"/>
        <v>14.5</v>
      </c>
      <c r="J19" s="66">
        <v>23.0</v>
      </c>
      <c r="K19" s="54">
        <f t="shared" si="3"/>
        <v>38</v>
      </c>
      <c r="L19" s="62"/>
      <c r="M19" s="62"/>
      <c r="N19" s="62"/>
      <c r="O19" s="62"/>
      <c r="P19" s="62"/>
      <c r="Q19" s="62"/>
      <c r="R19" s="62"/>
    </row>
    <row r="20" ht="15.75" customHeight="1">
      <c r="A20" s="5">
        <v>14.0</v>
      </c>
      <c r="B20" s="63">
        <v>1.6010122019E10</v>
      </c>
      <c r="C20" s="64" t="s">
        <v>44</v>
      </c>
      <c r="D20" s="65">
        <v>20.0</v>
      </c>
      <c r="E20" s="65">
        <v>4.0</v>
      </c>
      <c r="F20" s="65">
        <v>4.0</v>
      </c>
      <c r="G20" s="65">
        <v>9.0</v>
      </c>
      <c r="H20" s="60">
        <f t="shared" si="1"/>
        <v>17</v>
      </c>
      <c r="I20" s="6">
        <f t="shared" si="2"/>
        <v>18.5</v>
      </c>
      <c r="J20" s="66">
        <v>28.0</v>
      </c>
      <c r="K20" s="54">
        <f t="shared" si="3"/>
        <v>47</v>
      </c>
      <c r="L20" s="62"/>
      <c r="M20" s="62"/>
      <c r="N20" s="62"/>
      <c r="O20" s="62"/>
      <c r="P20" s="62"/>
      <c r="Q20" s="62"/>
      <c r="R20" s="62"/>
    </row>
    <row r="21" ht="15.75" customHeight="1">
      <c r="A21" s="5">
        <v>15.0</v>
      </c>
      <c r="B21" s="63">
        <v>1.601012202E10</v>
      </c>
      <c r="C21" s="64" t="s">
        <v>45</v>
      </c>
      <c r="D21" s="65">
        <v>10.5</v>
      </c>
      <c r="E21" s="65">
        <v>2.0</v>
      </c>
      <c r="F21" s="65">
        <v>3.0</v>
      </c>
      <c r="G21" s="65">
        <v>5.0</v>
      </c>
      <c r="H21" s="60">
        <f t="shared" si="1"/>
        <v>10</v>
      </c>
      <c r="I21" s="6">
        <f t="shared" si="2"/>
        <v>10.25</v>
      </c>
      <c r="J21" s="66">
        <v>19.0</v>
      </c>
      <c r="K21" s="54">
        <f t="shared" si="3"/>
        <v>29</v>
      </c>
      <c r="L21" s="62"/>
      <c r="M21" s="62"/>
      <c r="N21" s="62"/>
      <c r="O21" s="62"/>
      <c r="P21" s="62"/>
      <c r="Q21" s="62"/>
      <c r="R21" s="62"/>
    </row>
    <row r="22" ht="15.75" customHeight="1">
      <c r="A22" s="5">
        <v>16.0</v>
      </c>
      <c r="B22" s="63">
        <v>1.6010122022E10</v>
      </c>
      <c r="C22" s="64" t="s">
        <v>46</v>
      </c>
      <c r="D22" s="65">
        <v>17.0</v>
      </c>
      <c r="E22" s="65">
        <v>0.0</v>
      </c>
      <c r="F22" s="65">
        <v>2.0</v>
      </c>
      <c r="G22" s="65">
        <v>5.0</v>
      </c>
      <c r="H22" s="60">
        <f t="shared" si="1"/>
        <v>7</v>
      </c>
      <c r="I22" s="6">
        <f t="shared" si="2"/>
        <v>12</v>
      </c>
      <c r="J22" s="66">
        <v>11.0</v>
      </c>
      <c r="K22" s="54">
        <f t="shared" si="3"/>
        <v>23</v>
      </c>
      <c r="L22" s="62"/>
      <c r="M22" s="62"/>
      <c r="N22" s="62"/>
      <c r="O22" s="62"/>
      <c r="P22" s="62"/>
      <c r="Q22" s="62"/>
      <c r="R22" s="62"/>
    </row>
    <row r="23" ht="15.75" customHeight="1">
      <c r="A23" s="5">
        <v>17.0</v>
      </c>
      <c r="B23" s="63">
        <v>1.6010122024E10</v>
      </c>
      <c r="C23" s="64" t="s">
        <v>47</v>
      </c>
      <c r="D23" s="65">
        <v>13.0</v>
      </c>
      <c r="E23" s="65">
        <v>2.0</v>
      </c>
      <c r="F23" s="65">
        <v>3.0</v>
      </c>
      <c r="G23" s="65">
        <v>7.0</v>
      </c>
      <c r="H23" s="60">
        <f t="shared" si="1"/>
        <v>12</v>
      </c>
      <c r="I23" s="6">
        <f t="shared" si="2"/>
        <v>12.5</v>
      </c>
      <c r="J23" s="66">
        <v>20.0</v>
      </c>
      <c r="K23" s="54">
        <f t="shared" si="3"/>
        <v>33</v>
      </c>
      <c r="L23" s="62"/>
      <c r="M23" s="62"/>
      <c r="N23" s="62"/>
      <c r="O23" s="62"/>
      <c r="P23" s="62"/>
      <c r="Q23" s="62"/>
      <c r="R23" s="62"/>
    </row>
    <row r="24" ht="15.75" customHeight="1">
      <c r="A24" s="5">
        <v>18.0</v>
      </c>
      <c r="B24" s="63">
        <v>1.6010122025E10</v>
      </c>
      <c r="C24" s="64" t="s">
        <v>48</v>
      </c>
      <c r="D24" s="65">
        <v>20.0</v>
      </c>
      <c r="E24" s="65">
        <v>4.0</v>
      </c>
      <c r="F24" s="65">
        <v>4.0</v>
      </c>
      <c r="G24" s="65">
        <v>6.0</v>
      </c>
      <c r="H24" s="60">
        <f t="shared" si="1"/>
        <v>14</v>
      </c>
      <c r="I24" s="6">
        <f t="shared" si="2"/>
        <v>17</v>
      </c>
      <c r="J24" s="66">
        <v>29.0</v>
      </c>
      <c r="K24" s="54">
        <f t="shared" si="3"/>
        <v>46</v>
      </c>
      <c r="L24" s="62"/>
      <c r="M24" s="62"/>
      <c r="N24" s="62"/>
      <c r="O24" s="62"/>
      <c r="P24" s="62"/>
      <c r="Q24" s="62"/>
      <c r="R24" s="62"/>
    </row>
    <row r="25" ht="15.75" customHeight="1">
      <c r="A25" s="5">
        <v>19.0</v>
      </c>
      <c r="B25" s="63">
        <v>1.6010122026E10</v>
      </c>
      <c r="C25" s="64" t="s">
        <v>49</v>
      </c>
      <c r="D25" s="65">
        <v>16.0</v>
      </c>
      <c r="E25" s="65">
        <v>2.0</v>
      </c>
      <c r="F25" s="65">
        <v>4.0</v>
      </c>
      <c r="G25" s="65">
        <v>5.0</v>
      </c>
      <c r="H25" s="60">
        <f t="shared" si="1"/>
        <v>11</v>
      </c>
      <c r="I25" s="6">
        <f t="shared" si="2"/>
        <v>13.5</v>
      </c>
      <c r="J25" s="66">
        <v>26.0</v>
      </c>
      <c r="K25" s="54">
        <f t="shared" si="3"/>
        <v>40</v>
      </c>
      <c r="L25" s="62"/>
      <c r="M25" s="62"/>
      <c r="N25" s="62"/>
      <c r="O25" s="62"/>
      <c r="P25" s="62"/>
      <c r="Q25" s="62"/>
      <c r="R25" s="62"/>
    </row>
    <row r="26" ht="15.75" customHeight="1">
      <c r="A26" s="5">
        <v>20.0</v>
      </c>
      <c r="B26" s="63">
        <v>1.6010122027E10</v>
      </c>
      <c r="C26" s="64" t="s">
        <v>50</v>
      </c>
      <c r="D26" s="65">
        <v>20.0</v>
      </c>
      <c r="E26" s="65">
        <v>2.0</v>
      </c>
      <c r="F26" s="65">
        <v>2.0</v>
      </c>
      <c r="G26" s="65">
        <v>6.0</v>
      </c>
      <c r="H26" s="60">
        <f t="shared" si="1"/>
        <v>10</v>
      </c>
      <c r="I26" s="6">
        <f t="shared" si="2"/>
        <v>15</v>
      </c>
      <c r="J26" s="61">
        <v>27.0</v>
      </c>
      <c r="K26" s="54">
        <f t="shared" si="3"/>
        <v>42</v>
      </c>
      <c r="L26" s="62"/>
      <c r="M26" s="62"/>
      <c r="N26" s="62"/>
      <c r="O26" s="62"/>
      <c r="P26" s="62"/>
      <c r="Q26" s="62"/>
      <c r="R26" s="62"/>
    </row>
    <row r="27" ht="15.75" customHeight="1">
      <c r="A27" s="5">
        <v>21.0</v>
      </c>
      <c r="B27" s="63">
        <v>1.6010122028E10</v>
      </c>
      <c r="C27" s="64" t="s">
        <v>51</v>
      </c>
      <c r="D27" s="65">
        <v>13.0</v>
      </c>
      <c r="E27" s="65">
        <v>5.0</v>
      </c>
      <c r="F27" s="65">
        <v>4.0</v>
      </c>
      <c r="G27" s="65">
        <v>7.0</v>
      </c>
      <c r="H27" s="60">
        <f t="shared" si="1"/>
        <v>16</v>
      </c>
      <c r="I27" s="6">
        <f t="shared" si="2"/>
        <v>14.5</v>
      </c>
      <c r="J27" s="66">
        <v>19.0</v>
      </c>
      <c r="K27" s="54">
        <f t="shared" si="3"/>
        <v>34</v>
      </c>
      <c r="L27" s="62"/>
      <c r="M27" s="62"/>
      <c r="N27" s="62"/>
      <c r="O27" s="62"/>
      <c r="P27" s="62"/>
      <c r="Q27" s="62"/>
      <c r="R27" s="62"/>
    </row>
    <row r="28" ht="15.75" customHeight="1">
      <c r="A28" s="5">
        <v>22.0</v>
      </c>
      <c r="B28" s="63">
        <v>1.601012203E10</v>
      </c>
      <c r="C28" s="64" t="s">
        <v>52</v>
      </c>
      <c r="D28" s="65">
        <v>17.0</v>
      </c>
      <c r="E28" s="65">
        <v>2.0</v>
      </c>
      <c r="F28" s="65">
        <v>3.0</v>
      </c>
      <c r="G28" s="65">
        <v>6.0</v>
      </c>
      <c r="H28" s="60">
        <f t="shared" si="1"/>
        <v>11</v>
      </c>
      <c r="I28" s="6">
        <f t="shared" si="2"/>
        <v>14</v>
      </c>
      <c r="J28" s="66">
        <v>18.0</v>
      </c>
      <c r="K28" s="54">
        <f t="shared" si="3"/>
        <v>32</v>
      </c>
      <c r="L28" s="62"/>
      <c r="M28" s="62"/>
      <c r="N28" s="62"/>
      <c r="O28" s="62"/>
      <c r="P28" s="62"/>
      <c r="Q28" s="62"/>
      <c r="R28" s="62"/>
    </row>
    <row r="29" ht="15.75" customHeight="1">
      <c r="A29" s="5">
        <v>23.0</v>
      </c>
      <c r="B29" s="67">
        <v>1.6010122031E10</v>
      </c>
      <c r="C29" s="68" t="s">
        <v>53</v>
      </c>
      <c r="D29" s="65">
        <v>16.0</v>
      </c>
      <c r="E29" s="65">
        <v>4.0</v>
      </c>
      <c r="F29" s="65">
        <v>4.0</v>
      </c>
      <c r="G29" s="65">
        <v>8.0</v>
      </c>
      <c r="H29" s="60">
        <f t="shared" si="1"/>
        <v>16</v>
      </c>
      <c r="I29" s="6">
        <f t="shared" si="2"/>
        <v>16</v>
      </c>
      <c r="J29" s="66">
        <v>30.0</v>
      </c>
      <c r="K29" s="54">
        <f t="shared" si="3"/>
        <v>46</v>
      </c>
      <c r="L29" s="62"/>
      <c r="M29" s="62"/>
      <c r="N29" s="62"/>
      <c r="O29" s="62"/>
      <c r="P29" s="62"/>
      <c r="Q29" s="62"/>
      <c r="R29" s="62"/>
    </row>
    <row r="30" ht="15.75" customHeight="1">
      <c r="A30" s="5">
        <v>24.0</v>
      </c>
      <c r="B30" s="63">
        <v>1.6010122032E10</v>
      </c>
      <c r="C30" s="64" t="s">
        <v>54</v>
      </c>
      <c r="D30" s="65">
        <v>10.0</v>
      </c>
      <c r="E30" s="65">
        <v>2.0</v>
      </c>
      <c r="F30" s="65">
        <v>3.0</v>
      </c>
      <c r="G30" s="65">
        <v>8.0</v>
      </c>
      <c r="H30" s="60">
        <f t="shared" si="1"/>
        <v>13</v>
      </c>
      <c r="I30" s="6">
        <f t="shared" si="2"/>
        <v>11.5</v>
      </c>
      <c r="J30" s="66">
        <v>20.0</v>
      </c>
      <c r="K30" s="54">
        <f t="shared" si="3"/>
        <v>32</v>
      </c>
      <c r="L30" s="62"/>
      <c r="M30" s="62"/>
      <c r="N30" s="62"/>
      <c r="O30" s="62"/>
      <c r="P30" s="62"/>
      <c r="Q30" s="62"/>
      <c r="R30" s="62"/>
    </row>
    <row r="31" ht="15.75" customHeight="1">
      <c r="A31" s="5">
        <v>25.0</v>
      </c>
      <c r="B31" s="63">
        <v>1.6010122033E10</v>
      </c>
      <c r="C31" s="64" t="s">
        <v>55</v>
      </c>
      <c r="D31" s="65">
        <v>11.0</v>
      </c>
      <c r="E31" s="65">
        <v>2.0</v>
      </c>
      <c r="F31" s="65">
        <v>3.0</v>
      </c>
      <c r="G31" s="65">
        <v>6.0</v>
      </c>
      <c r="H31" s="60">
        <f t="shared" si="1"/>
        <v>11</v>
      </c>
      <c r="I31" s="6">
        <f t="shared" si="2"/>
        <v>11</v>
      </c>
      <c r="J31" s="66">
        <v>26.0</v>
      </c>
      <c r="K31" s="54">
        <f t="shared" si="3"/>
        <v>37</v>
      </c>
      <c r="L31" s="62"/>
      <c r="M31" s="62"/>
      <c r="N31" s="62"/>
      <c r="O31" s="62"/>
      <c r="P31" s="62"/>
      <c r="Q31" s="62"/>
      <c r="R31" s="62"/>
    </row>
    <row r="32" ht="15.75" customHeight="1">
      <c r="A32" s="5">
        <v>26.0</v>
      </c>
      <c r="B32" s="63">
        <v>1.6010122034E10</v>
      </c>
      <c r="C32" s="64" t="s">
        <v>56</v>
      </c>
      <c r="D32" s="65">
        <v>18.0</v>
      </c>
      <c r="E32" s="65">
        <v>2.0</v>
      </c>
      <c r="F32" s="65">
        <v>4.0</v>
      </c>
      <c r="G32" s="65">
        <v>10.0</v>
      </c>
      <c r="H32" s="60">
        <f t="shared" si="1"/>
        <v>16</v>
      </c>
      <c r="I32" s="6">
        <f t="shared" si="2"/>
        <v>17</v>
      </c>
      <c r="J32" s="66">
        <v>28.0</v>
      </c>
      <c r="K32" s="54">
        <f t="shared" si="3"/>
        <v>45</v>
      </c>
      <c r="L32" s="62"/>
      <c r="M32" s="62"/>
      <c r="N32" s="62"/>
      <c r="O32" s="62"/>
      <c r="P32" s="62"/>
      <c r="Q32" s="62"/>
      <c r="R32" s="62"/>
    </row>
    <row r="33" ht="15.75" customHeight="1">
      <c r="A33" s="5">
        <v>27.0</v>
      </c>
      <c r="B33" s="63">
        <v>1.6010122035E10</v>
      </c>
      <c r="C33" s="64" t="s">
        <v>57</v>
      </c>
      <c r="D33" s="65">
        <v>16.0</v>
      </c>
      <c r="E33" s="65">
        <v>2.0</v>
      </c>
      <c r="F33" s="65">
        <v>3.0</v>
      </c>
      <c r="G33" s="65">
        <v>6.0</v>
      </c>
      <c r="H33" s="60">
        <f t="shared" si="1"/>
        <v>11</v>
      </c>
      <c r="I33" s="6">
        <f t="shared" si="2"/>
        <v>13.5</v>
      </c>
      <c r="J33" s="66">
        <v>21.0</v>
      </c>
      <c r="K33" s="54">
        <f t="shared" si="3"/>
        <v>35</v>
      </c>
      <c r="L33" s="62"/>
      <c r="M33" s="62"/>
      <c r="N33" s="62"/>
      <c r="O33" s="62"/>
      <c r="P33" s="62"/>
      <c r="Q33" s="62"/>
      <c r="R33" s="62"/>
    </row>
    <row r="34" ht="15.75" customHeight="1">
      <c r="A34" s="5">
        <v>28.0</v>
      </c>
      <c r="B34" s="63">
        <v>1.6010122036E10</v>
      </c>
      <c r="C34" s="64" t="s">
        <v>58</v>
      </c>
      <c r="D34" s="65">
        <v>17.0</v>
      </c>
      <c r="E34" s="65">
        <v>0.0</v>
      </c>
      <c r="F34" s="65">
        <v>2.0</v>
      </c>
      <c r="G34" s="65">
        <v>5.0</v>
      </c>
      <c r="H34" s="60">
        <f t="shared" si="1"/>
        <v>7</v>
      </c>
      <c r="I34" s="6">
        <f t="shared" si="2"/>
        <v>12</v>
      </c>
      <c r="J34" s="66">
        <v>14.0</v>
      </c>
      <c r="K34" s="54">
        <f t="shared" si="3"/>
        <v>26</v>
      </c>
      <c r="L34" s="62"/>
      <c r="M34" s="62"/>
      <c r="N34" s="62"/>
      <c r="O34" s="62"/>
      <c r="P34" s="62"/>
      <c r="Q34" s="62"/>
      <c r="R34" s="62"/>
    </row>
    <row r="35" ht="15.75" customHeight="1">
      <c r="A35" s="5">
        <v>29.0</v>
      </c>
      <c r="B35" s="63">
        <v>1.6010122038E10</v>
      </c>
      <c r="C35" s="64" t="s">
        <v>59</v>
      </c>
      <c r="D35" s="65">
        <v>17.0</v>
      </c>
      <c r="E35" s="65">
        <v>2.0</v>
      </c>
      <c r="F35" s="65">
        <v>4.0</v>
      </c>
      <c r="G35" s="65">
        <v>8.0</v>
      </c>
      <c r="H35" s="60">
        <f t="shared" si="1"/>
        <v>14</v>
      </c>
      <c r="I35" s="6">
        <f t="shared" si="2"/>
        <v>15.5</v>
      </c>
      <c r="J35" s="66">
        <v>29.0</v>
      </c>
      <c r="K35" s="54">
        <f t="shared" si="3"/>
        <v>45</v>
      </c>
      <c r="L35" s="62"/>
      <c r="M35" s="62"/>
      <c r="N35" s="62"/>
      <c r="O35" s="62"/>
      <c r="P35" s="62"/>
      <c r="Q35" s="62"/>
      <c r="R35" s="62"/>
    </row>
    <row r="36" ht="15.75" customHeight="1">
      <c r="A36" s="5">
        <v>30.0</v>
      </c>
      <c r="B36" s="63">
        <v>1.6010122039E10</v>
      </c>
      <c r="C36" s="64" t="s">
        <v>60</v>
      </c>
      <c r="D36" s="65">
        <v>6.0</v>
      </c>
      <c r="E36" s="65">
        <v>0.0</v>
      </c>
      <c r="F36" s="65">
        <v>0.0</v>
      </c>
      <c r="G36" s="65">
        <v>6.0</v>
      </c>
      <c r="H36" s="60">
        <f t="shared" si="1"/>
        <v>6</v>
      </c>
      <c r="I36" s="6">
        <f t="shared" si="2"/>
        <v>6</v>
      </c>
      <c r="J36" s="66">
        <v>12.0</v>
      </c>
      <c r="K36" s="54">
        <f t="shared" si="3"/>
        <v>18</v>
      </c>
      <c r="L36" s="62"/>
      <c r="M36" s="62"/>
      <c r="N36" s="62"/>
      <c r="O36" s="62"/>
      <c r="P36" s="62"/>
      <c r="Q36" s="62"/>
      <c r="R36" s="62"/>
    </row>
    <row r="37" ht="15.75" customHeight="1">
      <c r="A37" s="5">
        <v>31.0</v>
      </c>
      <c r="B37" s="63">
        <v>1.6010122041E10</v>
      </c>
      <c r="C37" s="64" t="s">
        <v>61</v>
      </c>
      <c r="D37" s="65">
        <v>20.0</v>
      </c>
      <c r="E37" s="65">
        <v>4.0</v>
      </c>
      <c r="F37" s="65">
        <v>4.0</v>
      </c>
      <c r="G37" s="65">
        <v>8.0</v>
      </c>
      <c r="H37" s="60">
        <f t="shared" si="1"/>
        <v>16</v>
      </c>
      <c r="I37" s="6">
        <f t="shared" si="2"/>
        <v>18</v>
      </c>
      <c r="J37" s="66">
        <v>29.0</v>
      </c>
      <c r="K37" s="54">
        <f t="shared" si="3"/>
        <v>47</v>
      </c>
      <c r="L37" s="62"/>
      <c r="M37" s="62"/>
      <c r="N37" s="62"/>
      <c r="O37" s="62"/>
      <c r="P37" s="62"/>
      <c r="Q37" s="62"/>
      <c r="R37" s="62"/>
    </row>
    <row r="38" ht="15.75" customHeight="1">
      <c r="A38" s="5">
        <v>32.0</v>
      </c>
      <c r="B38" s="63">
        <v>1.6010122044E10</v>
      </c>
      <c r="C38" s="64" t="s">
        <v>62</v>
      </c>
      <c r="D38" s="65">
        <v>19.0</v>
      </c>
      <c r="E38" s="65">
        <v>2.0</v>
      </c>
      <c r="F38" s="65">
        <v>3.0</v>
      </c>
      <c r="G38" s="65">
        <v>9.0</v>
      </c>
      <c r="H38" s="60">
        <f t="shared" si="1"/>
        <v>14</v>
      </c>
      <c r="I38" s="6">
        <f t="shared" si="2"/>
        <v>16.5</v>
      </c>
      <c r="J38" s="66">
        <v>30.0</v>
      </c>
      <c r="K38" s="54">
        <f t="shared" si="3"/>
        <v>47</v>
      </c>
      <c r="L38" s="62"/>
      <c r="M38" s="62"/>
      <c r="N38" s="62"/>
      <c r="O38" s="62"/>
      <c r="P38" s="62"/>
      <c r="Q38" s="62"/>
      <c r="R38" s="62"/>
    </row>
    <row r="39" ht="15.75" customHeight="1">
      <c r="A39" s="5">
        <v>33.0</v>
      </c>
      <c r="B39" s="63">
        <v>1.6010122045E10</v>
      </c>
      <c r="C39" s="64" t="s">
        <v>63</v>
      </c>
      <c r="D39" s="65">
        <v>19.0</v>
      </c>
      <c r="E39" s="65">
        <v>3.0</v>
      </c>
      <c r="F39" s="65">
        <v>4.0</v>
      </c>
      <c r="G39" s="65">
        <v>9.0</v>
      </c>
      <c r="H39" s="60">
        <f t="shared" si="1"/>
        <v>16</v>
      </c>
      <c r="I39" s="6">
        <f t="shared" si="2"/>
        <v>17.5</v>
      </c>
      <c r="J39" s="66">
        <v>22.0</v>
      </c>
      <c r="K39" s="54">
        <f t="shared" si="3"/>
        <v>40</v>
      </c>
      <c r="L39" s="62"/>
      <c r="M39" s="62"/>
      <c r="N39" s="62"/>
      <c r="O39" s="62"/>
      <c r="P39" s="62"/>
      <c r="Q39" s="62"/>
      <c r="R39" s="62"/>
    </row>
    <row r="40" ht="15.75" customHeight="1">
      <c r="A40" s="5">
        <v>34.0</v>
      </c>
      <c r="B40" s="63">
        <v>1.6010122048E10</v>
      </c>
      <c r="C40" s="64" t="s">
        <v>64</v>
      </c>
      <c r="D40" s="65">
        <v>15.0</v>
      </c>
      <c r="E40" s="65">
        <v>2.0</v>
      </c>
      <c r="F40" s="65">
        <v>3.0</v>
      </c>
      <c r="G40" s="65">
        <v>5.0</v>
      </c>
      <c r="H40" s="60">
        <f t="shared" si="1"/>
        <v>10</v>
      </c>
      <c r="I40" s="6">
        <f t="shared" si="2"/>
        <v>12.5</v>
      </c>
      <c r="J40" s="66">
        <v>21.0</v>
      </c>
      <c r="K40" s="54">
        <f t="shared" si="3"/>
        <v>34</v>
      </c>
      <c r="L40" s="62"/>
      <c r="M40" s="62"/>
      <c r="N40" s="62"/>
      <c r="O40" s="62"/>
      <c r="P40" s="62"/>
      <c r="Q40" s="62"/>
      <c r="R40" s="62"/>
    </row>
    <row r="41" ht="15.75" customHeight="1">
      <c r="A41" s="5">
        <v>35.0</v>
      </c>
      <c r="B41" s="63">
        <v>1.6010122049E10</v>
      </c>
      <c r="C41" s="64" t="s">
        <v>65</v>
      </c>
      <c r="D41" s="65">
        <v>14.0</v>
      </c>
      <c r="E41" s="65">
        <v>2.0</v>
      </c>
      <c r="F41" s="65">
        <v>3.0</v>
      </c>
      <c r="G41" s="65">
        <v>6.0</v>
      </c>
      <c r="H41" s="60">
        <f t="shared" si="1"/>
        <v>11</v>
      </c>
      <c r="I41" s="6">
        <f t="shared" si="2"/>
        <v>12.5</v>
      </c>
      <c r="J41" s="66">
        <v>14.0</v>
      </c>
      <c r="K41" s="54">
        <f t="shared" si="3"/>
        <v>27</v>
      </c>
      <c r="L41" s="62"/>
      <c r="M41" s="62"/>
      <c r="N41" s="62"/>
      <c r="O41" s="62"/>
      <c r="P41" s="62"/>
      <c r="Q41" s="62"/>
      <c r="R41" s="62"/>
    </row>
    <row r="42" ht="15.75" customHeight="1">
      <c r="A42" s="5">
        <v>36.0</v>
      </c>
      <c r="B42" s="63">
        <v>1.601012205E10</v>
      </c>
      <c r="C42" s="64" t="s">
        <v>66</v>
      </c>
      <c r="D42" s="65">
        <v>11.0</v>
      </c>
      <c r="E42" s="65">
        <v>0.0</v>
      </c>
      <c r="F42" s="65">
        <v>3.0</v>
      </c>
      <c r="G42" s="65">
        <v>7.0</v>
      </c>
      <c r="H42" s="60">
        <f t="shared" si="1"/>
        <v>10</v>
      </c>
      <c r="I42" s="6">
        <f t="shared" si="2"/>
        <v>10.5</v>
      </c>
      <c r="J42" s="66">
        <v>6.0</v>
      </c>
      <c r="K42" s="54">
        <f t="shared" si="3"/>
        <v>17</v>
      </c>
      <c r="L42" s="62"/>
      <c r="M42" s="62"/>
      <c r="N42" s="62"/>
      <c r="O42" s="62"/>
      <c r="P42" s="62"/>
      <c r="Q42" s="62"/>
      <c r="R42" s="62"/>
    </row>
    <row r="43" ht="15.75" customHeight="1">
      <c r="A43" s="5">
        <v>37.0</v>
      </c>
      <c r="B43" s="63">
        <v>1.6010122051E10</v>
      </c>
      <c r="C43" s="64" t="s">
        <v>67</v>
      </c>
      <c r="D43" s="65">
        <v>20.0</v>
      </c>
      <c r="E43" s="65">
        <v>5.0</v>
      </c>
      <c r="F43" s="65">
        <v>5.0</v>
      </c>
      <c r="G43" s="65">
        <v>10.0</v>
      </c>
      <c r="H43" s="60">
        <f t="shared" si="1"/>
        <v>20</v>
      </c>
      <c r="I43" s="6">
        <f t="shared" si="2"/>
        <v>20</v>
      </c>
      <c r="J43" s="61">
        <v>30.0</v>
      </c>
      <c r="K43" s="54">
        <f t="shared" si="3"/>
        <v>50</v>
      </c>
      <c r="L43" s="62"/>
      <c r="M43" s="62"/>
      <c r="N43" s="62"/>
      <c r="O43" s="62"/>
      <c r="P43" s="62"/>
      <c r="Q43" s="62"/>
      <c r="R43" s="62"/>
    </row>
    <row r="44" ht="15.75" customHeight="1">
      <c r="A44" s="5">
        <v>38.0</v>
      </c>
      <c r="B44" s="63">
        <v>1.6010122053E10</v>
      </c>
      <c r="C44" s="64" t="s">
        <v>68</v>
      </c>
      <c r="D44" s="65">
        <v>20.0</v>
      </c>
      <c r="E44" s="65">
        <v>3.0</v>
      </c>
      <c r="F44" s="65">
        <v>3.0</v>
      </c>
      <c r="G44" s="65">
        <v>6.0</v>
      </c>
      <c r="H44" s="60">
        <f t="shared" si="1"/>
        <v>12</v>
      </c>
      <c r="I44" s="6">
        <f t="shared" si="2"/>
        <v>16</v>
      </c>
      <c r="J44" s="66">
        <v>25.0</v>
      </c>
      <c r="K44" s="54">
        <f t="shared" si="3"/>
        <v>41</v>
      </c>
      <c r="L44" s="62"/>
      <c r="M44" s="62"/>
      <c r="N44" s="62"/>
      <c r="O44" s="62"/>
      <c r="P44" s="62"/>
      <c r="Q44" s="62"/>
      <c r="R44" s="62"/>
    </row>
    <row r="45" ht="15.75" customHeight="1">
      <c r="A45" s="5">
        <v>39.0</v>
      </c>
      <c r="B45" s="63">
        <v>1.6010122055E10</v>
      </c>
      <c r="C45" s="64" t="s">
        <v>69</v>
      </c>
      <c r="D45" s="65">
        <v>14.0</v>
      </c>
      <c r="E45" s="65">
        <v>4.0</v>
      </c>
      <c r="F45" s="65">
        <v>4.0</v>
      </c>
      <c r="G45" s="65">
        <v>9.0</v>
      </c>
      <c r="H45" s="60">
        <f t="shared" si="1"/>
        <v>17</v>
      </c>
      <c r="I45" s="6">
        <f t="shared" si="2"/>
        <v>15.5</v>
      </c>
      <c r="J45" s="66">
        <v>28.0</v>
      </c>
      <c r="K45" s="54">
        <f t="shared" si="3"/>
        <v>44</v>
      </c>
      <c r="L45" s="62"/>
      <c r="M45" s="62"/>
      <c r="N45" s="62"/>
      <c r="O45" s="62"/>
      <c r="P45" s="62"/>
      <c r="Q45" s="62"/>
      <c r="R45" s="62"/>
    </row>
    <row r="46" ht="15.75" customHeight="1">
      <c r="A46" s="5">
        <v>40.0</v>
      </c>
      <c r="B46" s="63">
        <v>1.6010122056E10</v>
      </c>
      <c r="C46" s="64" t="s">
        <v>70</v>
      </c>
      <c r="D46" s="65">
        <v>18.0</v>
      </c>
      <c r="E46" s="65">
        <v>2.0</v>
      </c>
      <c r="F46" s="65">
        <v>3.0</v>
      </c>
      <c r="G46" s="65">
        <v>6.0</v>
      </c>
      <c r="H46" s="60">
        <f t="shared" si="1"/>
        <v>11</v>
      </c>
      <c r="I46" s="6">
        <f t="shared" si="2"/>
        <v>14.5</v>
      </c>
      <c r="J46" s="66">
        <v>23.0</v>
      </c>
      <c r="K46" s="54">
        <f t="shared" si="3"/>
        <v>38</v>
      </c>
      <c r="L46" s="62"/>
      <c r="M46" s="62"/>
      <c r="N46" s="62"/>
      <c r="O46" s="62"/>
      <c r="P46" s="62"/>
      <c r="Q46" s="62"/>
      <c r="R46" s="62"/>
    </row>
    <row r="47" ht="15.75" customHeight="1">
      <c r="A47" s="5">
        <v>41.0</v>
      </c>
      <c r="B47" s="63">
        <v>1.6010122057E10</v>
      </c>
      <c r="C47" s="64" t="s">
        <v>71</v>
      </c>
      <c r="D47" s="65">
        <v>18.0</v>
      </c>
      <c r="E47" s="65">
        <v>2.0</v>
      </c>
      <c r="F47" s="65">
        <v>4.0</v>
      </c>
      <c r="G47" s="65">
        <v>10.0</v>
      </c>
      <c r="H47" s="60">
        <f t="shared" si="1"/>
        <v>16</v>
      </c>
      <c r="I47" s="6">
        <f t="shared" si="2"/>
        <v>17</v>
      </c>
      <c r="J47" s="66">
        <v>27.0</v>
      </c>
      <c r="K47" s="54">
        <f t="shared" si="3"/>
        <v>44</v>
      </c>
      <c r="L47" s="62"/>
      <c r="M47" s="62"/>
      <c r="N47" s="62"/>
      <c r="O47" s="62"/>
      <c r="P47" s="62"/>
      <c r="Q47" s="62"/>
      <c r="R47" s="62"/>
    </row>
    <row r="48" ht="15.75" customHeight="1">
      <c r="A48" s="5">
        <v>42.0</v>
      </c>
      <c r="B48" s="63">
        <v>1.6010122058E10</v>
      </c>
      <c r="C48" s="64" t="s">
        <v>72</v>
      </c>
      <c r="D48" s="65">
        <v>20.0</v>
      </c>
      <c r="E48" s="65">
        <v>0.0</v>
      </c>
      <c r="F48" s="65">
        <v>2.0</v>
      </c>
      <c r="G48" s="65">
        <v>6.0</v>
      </c>
      <c r="H48" s="60">
        <f t="shared" si="1"/>
        <v>8</v>
      </c>
      <c r="I48" s="6">
        <f t="shared" si="2"/>
        <v>14</v>
      </c>
      <c r="J48" s="66">
        <v>25.0</v>
      </c>
      <c r="K48" s="54">
        <f t="shared" si="3"/>
        <v>39</v>
      </c>
      <c r="L48" s="62"/>
      <c r="M48" s="62"/>
      <c r="N48" s="62"/>
      <c r="O48" s="62"/>
      <c r="P48" s="62"/>
      <c r="Q48" s="62"/>
      <c r="R48" s="62"/>
    </row>
    <row r="49" ht="15.75" customHeight="1">
      <c r="A49" s="5">
        <v>43.0</v>
      </c>
      <c r="B49" s="63">
        <v>1.6010122059E10</v>
      </c>
      <c r="C49" s="64" t="s">
        <v>73</v>
      </c>
      <c r="D49" s="65">
        <v>20.0</v>
      </c>
      <c r="E49" s="65">
        <v>4.0</v>
      </c>
      <c r="F49" s="65">
        <v>4.0</v>
      </c>
      <c r="G49" s="65">
        <v>6.0</v>
      </c>
      <c r="H49" s="60">
        <f t="shared" si="1"/>
        <v>14</v>
      </c>
      <c r="I49" s="6">
        <f t="shared" si="2"/>
        <v>17</v>
      </c>
      <c r="J49" s="66">
        <v>21.0</v>
      </c>
      <c r="K49" s="54">
        <f t="shared" si="3"/>
        <v>38</v>
      </c>
      <c r="L49" s="62"/>
      <c r="M49" s="62"/>
      <c r="N49" s="62"/>
      <c r="O49" s="62"/>
      <c r="P49" s="62"/>
      <c r="Q49" s="62"/>
      <c r="R49" s="62"/>
    </row>
    <row r="50" ht="15.75" customHeight="1">
      <c r="A50" s="5">
        <v>44.0</v>
      </c>
      <c r="B50" s="63">
        <v>1.601012206E10</v>
      </c>
      <c r="C50" s="64" t="s">
        <v>74</v>
      </c>
      <c r="D50" s="65">
        <v>17.0</v>
      </c>
      <c r="E50" s="65">
        <v>4.0</v>
      </c>
      <c r="F50" s="65">
        <v>4.0</v>
      </c>
      <c r="G50" s="65">
        <v>8.0</v>
      </c>
      <c r="H50" s="60">
        <f t="shared" si="1"/>
        <v>16</v>
      </c>
      <c r="I50" s="6">
        <f t="shared" si="2"/>
        <v>16.5</v>
      </c>
      <c r="J50" s="66">
        <v>30.0</v>
      </c>
      <c r="K50" s="54">
        <f t="shared" si="3"/>
        <v>47</v>
      </c>
      <c r="L50" s="62"/>
      <c r="M50" s="62"/>
      <c r="N50" s="62"/>
      <c r="O50" s="62"/>
      <c r="P50" s="62"/>
      <c r="Q50" s="62"/>
      <c r="R50" s="62"/>
    </row>
    <row r="51" ht="15.75" customHeight="1">
      <c r="A51" s="5">
        <v>45.0</v>
      </c>
      <c r="B51" s="63">
        <v>1.6010122062E10</v>
      </c>
      <c r="C51" s="64" t="s">
        <v>75</v>
      </c>
      <c r="D51" s="65">
        <v>12.0</v>
      </c>
      <c r="E51" s="65">
        <v>2.0</v>
      </c>
      <c r="F51" s="65">
        <v>3.0</v>
      </c>
      <c r="G51" s="65">
        <v>5.0</v>
      </c>
      <c r="H51" s="60">
        <f t="shared" si="1"/>
        <v>10</v>
      </c>
      <c r="I51" s="6">
        <f t="shared" si="2"/>
        <v>11</v>
      </c>
      <c r="J51" s="66">
        <v>16.0</v>
      </c>
      <c r="K51" s="54">
        <f t="shared" si="3"/>
        <v>27</v>
      </c>
      <c r="L51" s="62"/>
      <c r="M51" s="62"/>
      <c r="N51" s="62"/>
      <c r="O51" s="62"/>
      <c r="P51" s="62"/>
      <c r="Q51" s="62"/>
      <c r="R51" s="62"/>
    </row>
    <row r="52" ht="15.75" customHeight="1">
      <c r="A52" s="5">
        <v>46.0</v>
      </c>
      <c r="B52" s="63">
        <v>1.6010122064E10</v>
      </c>
      <c r="C52" s="64" t="s">
        <v>76</v>
      </c>
      <c r="D52" s="65">
        <v>9.0</v>
      </c>
      <c r="E52" s="65">
        <v>0.0</v>
      </c>
      <c r="F52" s="65">
        <v>2.0</v>
      </c>
      <c r="G52" s="65">
        <v>6.0</v>
      </c>
      <c r="H52" s="60">
        <f t="shared" si="1"/>
        <v>8</v>
      </c>
      <c r="I52" s="6">
        <f t="shared" si="2"/>
        <v>8.5</v>
      </c>
      <c r="J52" s="66">
        <v>23.0</v>
      </c>
      <c r="K52" s="54">
        <f t="shared" si="3"/>
        <v>32</v>
      </c>
      <c r="L52" s="62"/>
      <c r="M52" s="62"/>
      <c r="N52" s="62"/>
      <c r="O52" s="62"/>
      <c r="P52" s="62"/>
      <c r="Q52" s="62"/>
      <c r="R52" s="62"/>
    </row>
    <row r="53" ht="15.75" customHeight="1">
      <c r="A53" s="5">
        <v>47.0</v>
      </c>
      <c r="B53" s="63">
        <v>1.6010122065E10</v>
      </c>
      <c r="C53" s="64" t="s">
        <v>77</v>
      </c>
      <c r="D53" s="65">
        <v>20.0</v>
      </c>
      <c r="E53" s="65">
        <v>5.0</v>
      </c>
      <c r="F53" s="65">
        <v>5.0</v>
      </c>
      <c r="G53" s="65">
        <v>10.0</v>
      </c>
      <c r="H53" s="60">
        <f t="shared" si="1"/>
        <v>20</v>
      </c>
      <c r="I53" s="6">
        <f t="shared" si="2"/>
        <v>20</v>
      </c>
      <c r="J53" s="66">
        <v>24.0</v>
      </c>
      <c r="K53" s="54">
        <f t="shared" si="3"/>
        <v>44</v>
      </c>
      <c r="L53" s="62"/>
      <c r="M53" s="62"/>
      <c r="N53" s="62"/>
      <c r="O53" s="62"/>
      <c r="P53" s="62"/>
      <c r="Q53" s="62"/>
      <c r="R53" s="62"/>
    </row>
    <row r="54" ht="15.75" customHeight="1">
      <c r="A54" s="5">
        <v>48.0</v>
      </c>
      <c r="B54" s="63">
        <v>1.6010122066E10</v>
      </c>
      <c r="C54" s="64" t="s">
        <v>78</v>
      </c>
      <c r="D54" s="65">
        <v>16.0</v>
      </c>
      <c r="E54" s="65">
        <v>3.0</v>
      </c>
      <c r="F54" s="65">
        <v>2.0</v>
      </c>
      <c r="G54" s="65">
        <v>6.0</v>
      </c>
      <c r="H54" s="60">
        <f t="shared" si="1"/>
        <v>11</v>
      </c>
      <c r="I54" s="6">
        <f t="shared" si="2"/>
        <v>13.5</v>
      </c>
      <c r="J54" s="66">
        <v>23.0</v>
      </c>
      <c r="K54" s="54">
        <f t="shared" si="3"/>
        <v>37</v>
      </c>
      <c r="L54" s="62"/>
      <c r="M54" s="62"/>
      <c r="N54" s="62"/>
      <c r="O54" s="62"/>
      <c r="P54" s="62"/>
      <c r="Q54" s="62"/>
      <c r="R54" s="62"/>
    </row>
    <row r="55" ht="15.75" customHeight="1">
      <c r="A55" s="5">
        <v>49.0</v>
      </c>
      <c r="B55" s="63">
        <v>1.6010122069E10</v>
      </c>
      <c r="C55" s="64" t="s">
        <v>79</v>
      </c>
      <c r="D55" s="65">
        <v>8.0</v>
      </c>
      <c r="E55" s="65">
        <v>0.0</v>
      </c>
      <c r="F55" s="65">
        <v>2.0</v>
      </c>
      <c r="G55" s="65">
        <v>5.0</v>
      </c>
      <c r="H55" s="60">
        <f t="shared" si="1"/>
        <v>7</v>
      </c>
      <c r="I55" s="6">
        <f t="shared" si="2"/>
        <v>7.5</v>
      </c>
      <c r="J55" s="66">
        <v>20.0</v>
      </c>
      <c r="K55" s="54">
        <f t="shared" si="3"/>
        <v>28</v>
      </c>
      <c r="L55" s="62"/>
      <c r="M55" s="62"/>
      <c r="N55" s="62"/>
      <c r="O55" s="62"/>
      <c r="P55" s="62"/>
      <c r="Q55" s="62"/>
      <c r="R55" s="62"/>
    </row>
    <row r="56" ht="15.75" customHeight="1">
      <c r="A56" s="5">
        <v>50.0</v>
      </c>
      <c r="B56" s="63">
        <v>1.601012207E10</v>
      </c>
      <c r="C56" s="64" t="s">
        <v>80</v>
      </c>
      <c r="D56" s="65">
        <v>20.0</v>
      </c>
      <c r="E56" s="65">
        <v>2.0</v>
      </c>
      <c r="F56" s="65">
        <v>3.0</v>
      </c>
      <c r="G56" s="65">
        <v>6.0</v>
      </c>
      <c r="H56" s="60">
        <f t="shared" si="1"/>
        <v>11</v>
      </c>
      <c r="I56" s="6">
        <f t="shared" si="2"/>
        <v>15.5</v>
      </c>
      <c r="J56" s="66">
        <v>30.0</v>
      </c>
      <c r="K56" s="54">
        <f t="shared" si="3"/>
        <v>46</v>
      </c>
      <c r="L56" s="62"/>
      <c r="M56" s="62"/>
      <c r="N56" s="62"/>
      <c r="O56" s="62"/>
      <c r="P56" s="62"/>
      <c r="Q56" s="62"/>
      <c r="R56" s="62"/>
    </row>
    <row r="57" ht="15.75" customHeight="1">
      <c r="A57" s="5">
        <v>51.0</v>
      </c>
      <c r="B57" s="63">
        <v>1.6010122071E10</v>
      </c>
      <c r="C57" s="64" t="s">
        <v>81</v>
      </c>
      <c r="D57" s="65">
        <v>17.0</v>
      </c>
      <c r="E57" s="65">
        <v>0.0</v>
      </c>
      <c r="F57" s="65">
        <v>2.0</v>
      </c>
      <c r="G57" s="65">
        <v>7.0</v>
      </c>
      <c r="H57" s="60">
        <f t="shared" si="1"/>
        <v>9</v>
      </c>
      <c r="I57" s="6">
        <f t="shared" si="2"/>
        <v>13</v>
      </c>
      <c r="J57" s="66">
        <v>30.0</v>
      </c>
      <c r="K57" s="54">
        <f t="shared" si="3"/>
        <v>43</v>
      </c>
      <c r="L57" s="62"/>
      <c r="M57" s="62"/>
      <c r="N57" s="62"/>
      <c r="O57" s="62"/>
      <c r="P57" s="62"/>
      <c r="Q57" s="62"/>
      <c r="R57" s="62"/>
    </row>
    <row r="58" ht="15.75" customHeight="1">
      <c r="A58" s="5">
        <v>52.0</v>
      </c>
      <c r="B58" s="63">
        <v>1.6010122072E10</v>
      </c>
      <c r="C58" s="64" t="s">
        <v>82</v>
      </c>
      <c r="D58" s="65">
        <v>15.0</v>
      </c>
      <c r="E58" s="65">
        <v>2.0</v>
      </c>
      <c r="F58" s="65">
        <v>3.0</v>
      </c>
      <c r="G58" s="65">
        <v>8.0</v>
      </c>
      <c r="H58" s="60">
        <f t="shared" si="1"/>
        <v>13</v>
      </c>
      <c r="I58" s="6">
        <f t="shared" si="2"/>
        <v>14</v>
      </c>
      <c r="J58" s="66">
        <v>27.0</v>
      </c>
      <c r="K58" s="54">
        <f t="shared" si="3"/>
        <v>41</v>
      </c>
      <c r="L58" s="62"/>
      <c r="M58" s="62"/>
      <c r="N58" s="62"/>
      <c r="O58" s="62"/>
      <c r="P58" s="62"/>
      <c r="Q58" s="62"/>
      <c r="R58" s="62"/>
    </row>
    <row r="59" ht="15.75" customHeight="1">
      <c r="A59" s="5">
        <v>53.0</v>
      </c>
      <c r="B59" s="63">
        <v>1.6010122073E10</v>
      </c>
      <c r="C59" s="64" t="s">
        <v>83</v>
      </c>
      <c r="D59" s="65">
        <v>20.0</v>
      </c>
      <c r="E59" s="65">
        <v>0.0</v>
      </c>
      <c r="F59" s="65">
        <v>2.0</v>
      </c>
      <c r="G59" s="65">
        <v>5.0</v>
      </c>
      <c r="H59" s="60">
        <f t="shared" si="1"/>
        <v>7</v>
      </c>
      <c r="I59" s="6">
        <f t="shared" si="2"/>
        <v>13.5</v>
      </c>
      <c r="J59" s="66">
        <v>25.0</v>
      </c>
      <c r="K59" s="54">
        <f t="shared" si="3"/>
        <v>39</v>
      </c>
      <c r="L59" s="62"/>
      <c r="M59" s="62"/>
      <c r="N59" s="62"/>
      <c r="O59" s="62"/>
      <c r="P59" s="62"/>
      <c r="Q59" s="62"/>
      <c r="R59" s="62"/>
    </row>
    <row r="60" ht="15.75" customHeight="1">
      <c r="A60" s="5">
        <v>54.0</v>
      </c>
      <c r="B60" s="63">
        <v>1.6010122074E10</v>
      </c>
      <c r="C60" s="64" t="s">
        <v>84</v>
      </c>
      <c r="D60" s="65">
        <v>20.0</v>
      </c>
      <c r="E60" s="65">
        <v>2.0</v>
      </c>
      <c r="F60" s="65">
        <v>4.0</v>
      </c>
      <c r="G60" s="65">
        <v>8.0</v>
      </c>
      <c r="H60" s="60">
        <f t="shared" si="1"/>
        <v>14</v>
      </c>
      <c r="I60" s="6">
        <f t="shared" si="2"/>
        <v>17</v>
      </c>
      <c r="J60" s="66">
        <v>27.0</v>
      </c>
      <c r="K60" s="54">
        <f t="shared" si="3"/>
        <v>44</v>
      </c>
      <c r="L60" s="62"/>
      <c r="M60" s="62"/>
      <c r="N60" s="62"/>
      <c r="O60" s="62"/>
      <c r="P60" s="62"/>
      <c r="Q60" s="62"/>
      <c r="R60" s="62"/>
    </row>
    <row r="61" ht="15.75" customHeight="1">
      <c r="A61" s="5">
        <v>55.0</v>
      </c>
      <c r="B61" s="63">
        <v>1.6010122075E10</v>
      </c>
      <c r="C61" s="64" t="s">
        <v>85</v>
      </c>
      <c r="D61" s="65">
        <v>17.0</v>
      </c>
      <c r="E61" s="65">
        <v>0.0</v>
      </c>
      <c r="F61" s="65">
        <v>2.0</v>
      </c>
      <c r="G61" s="65">
        <v>6.0</v>
      </c>
      <c r="H61" s="60">
        <f t="shared" si="1"/>
        <v>8</v>
      </c>
      <c r="I61" s="6">
        <f t="shared" si="2"/>
        <v>12.5</v>
      </c>
      <c r="J61" s="66">
        <v>27.0</v>
      </c>
      <c r="K61" s="54">
        <f t="shared" si="3"/>
        <v>40</v>
      </c>
      <c r="L61" s="62"/>
      <c r="M61" s="62"/>
      <c r="N61" s="62"/>
      <c r="O61" s="62"/>
      <c r="P61" s="62"/>
      <c r="Q61" s="62"/>
      <c r="R61" s="62"/>
    </row>
    <row r="62" ht="15.75" customHeight="1">
      <c r="A62" s="5">
        <v>56.0</v>
      </c>
      <c r="B62" s="63">
        <v>1.6010122077E10</v>
      </c>
      <c r="C62" s="64" t="s">
        <v>86</v>
      </c>
      <c r="D62" s="65">
        <v>11.0</v>
      </c>
      <c r="E62" s="65">
        <v>2.0</v>
      </c>
      <c r="F62" s="65">
        <v>3.0</v>
      </c>
      <c r="G62" s="65">
        <v>8.0</v>
      </c>
      <c r="H62" s="60">
        <f t="shared" si="1"/>
        <v>13</v>
      </c>
      <c r="I62" s="6">
        <f t="shared" si="2"/>
        <v>12</v>
      </c>
      <c r="J62" s="66">
        <v>29.0</v>
      </c>
      <c r="K62" s="54">
        <f t="shared" si="3"/>
        <v>41</v>
      </c>
      <c r="L62" s="62"/>
      <c r="M62" s="62"/>
      <c r="N62" s="62"/>
      <c r="O62" s="62"/>
      <c r="P62" s="62"/>
      <c r="Q62" s="62"/>
      <c r="R62" s="62"/>
    </row>
    <row r="63" ht="15.75" customHeight="1">
      <c r="A63" s="60">
        <v>57.0</v>
      </c>
      <c r="B63" s="63">
        <v>1.6010122078E10</v>
      </c>
      <c r="C63" s="64" t="s">
        <v>87</v>
      </c>
      <c r="D63" s="65">
        <v>20.0</v>
      </c>
      <c r="E63" s="65">
        <v>2.0</v>
      </c>
      <c r="F63" s="65">
        <v>4.0</v>
      </c>
      <c r="G63" s="65">
        <v>7.0</v>
      </c>
      <c r="H63" s="60">
        <f t="shared" si="1"/>
        <v>13</v>
      </c>
      <c r="I63" s="6">
        <f t="shared" si="2"/>
        <v>16.5</v>
      </c>
      <c r="J63" s="69">
        <v>30.0</v>
      </c>
      <c r="K63" s="54">
        <f t="shared" si="3"/>
        <v>47</v>
      </c>
    </row>
    <row r="64" ht="15.75" customHeight="1">
      <c r="A64" s="60">
        <v>58.0</v>
      </c>
      <c r="B64" s="63">
        <v>1.601012208E10</v>
      </c>
      <c r="C64" s="64" t="s">
        <v>88</v>
      </c>
      <c r="D64" s="65">
        <v>14.0</v>
      </c>
      <c r="E64" s="65">
        <v>0.0</v>
      </c>
      <c r="F64" s="65">
        <v>2.0</v>
      </c>
      <c r="G64" s="65">
        <v>5.0</v>
      </c>
      <c r="H64" s="60">
        <f t="shared" si="1"/>
        <v>7</v>
      </c>
      <c r="I64" s="6">
        <f t="shared" si="2"/>
        <v>10.5</v>
      </c>
      <c r="J64" s="69">
        <v>23.0</v>
      </c>
      <c r="K64" s="54">
        <f t="shared" si="3"/>
        <v>34</v>
      </c>
    </row>
    <row r="65" ht="15.75" customHeight="1">
      <c r="A65" s="60">
        <v>59.0</v>
      </c>
      <c r="B65" s="63">
        <v>1.6010122081E10</v>
      </c>
      <c r="C65" s="64" t="s">
        <v>89</v>
      </c>
      <c r="D65" s="65">
        <v>6.5</v>
      </c>
      <c r="E65" s="65">
        <v>0.0</v>
      </c>
      <c r="F65" s="65">
        <v>2.0</v>
      </c>
      <c r="G65" s="65">
        <v>5.0</v>
      </c>
      <c r="H65" s="60">
        <f t="shared" si="1"/>
        <v>7</v>
      </c>
      <c r="I65" s="6">
        <f t="shared" si="2"/>
        <v>6.75</v>
      </c>
      <c r="J65" s="69">
        <v>23.0</v>
      </c>
      <c r="K65" s="54">
        <f t="shared" si="3"/>
        <v>30</v>
      </c>
    </row>
    <row r="66" ht="15.75" customHeight="1">
      <c r="A66" s="60">
        <v>60.0</v>
      </c>
      <c r="B66" s="63">
        <v>1.6010122082E10</v>
      </c>
      <c r="C66" s="64" t="s">
        <v>90</v>
      </c>
      <c r="D66" s="65">
        <v>11.0</v>
      </c>
      <c r="E66" s="65">
        <v>0.0</v>
      </c>
      <c r="F66" s="65">
        <v>3.0</v>
      </c>
      <c r="G66" s="65">
        <v>8.0</v>
      </c>
      <c r="H66" s="60">
        <f t="shared" si="1"/>
        <v>11</v>
      </c>
      <c r="I66" s="6">
        <f t="shared" si="2"/>
        <v>11</v>
      </c>
      <c r="J66" s="69">
        <v>29.0</v>
      </c>
      <c r="K66" s="54">
        <f t="shared" si="3"/>
        <v>40</v>
      </c>
    </row>
    <row r="67" ht="15.75" customHeight="1">
      <c r="A67" s="60">
        <v>61.0</v>
      </c>
      <c r="B67" s="63">
        <v>1.6010122083E10</v>
      </c>
      <c r="C67" s="64" t="s">
        <v>91</v>
      </c>
      <c r="D67" s="65">
        <v>20.0</v>
      </c>
      <c r="E67" s="65">
        <v>4.0</v>
      </c>
      <c r="F67" s="65">
        <v>4.0</v>
      </c>
      <c r="G67" s="65">
        <v>10.0</v>
      </c>
      <c r="H67" s="60">
        <f t="shared" si="1"/>
        <v>18</v>
      </c>
      <c r="I67" s="6">
        <f t="shared" si="2"/>
        <v>19</v>
      </c>
      <c r="J67" s="69">
        <v>30.0</v>
      </c>
      <c r="K67" s="54">
        <f t="shared" si="3"/>
        <v>49</v>
      </c>
    </row>
    <row r="68" ht="15.75" customHeight="1">
      <c r="A68" s="60">
        <v>62.0</v>
      </c>
      <c r="B68" s="63">
        <v>1.6010122084E10</v>
      </c>
      <c r="C68" s="64" t="s">
        <v>92</v>
      </c>
      <c r="D68" s="65">
        <v>17.0</v>
      </c>
      <c r="E68" s="65">
        <v>0.0</v>
      </c>
      <c r="F68" s="65">
        <v>0.0</v>
      </c>
      <c r="G68" s="65">
        <v>6.0</v>
      </c>
      <c r="H68" s="60">
        <f t="shared" si="1"/>
        <v>6</v>
      </c>
      <c r="I68" s="6">
        <f t="shared" si="2"/>
        <v>11.5</v>
      </c>
      <c r="J68" s="69">
        <v>18.0</v>
      </c>
      <c r="K68" s="54">
        <f t="shared" si="3"/>
        <v>30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5">
    <mergeCell ref="A1:R1"/>
    <mergeCell ref="A2:R2"/>
    <mergeCell ref="A3:R3"/>
    <mergeCell ref="A4:R4"/>
    <mergeCell ref="E5:H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2022-12-17T06:41:59Z</dcterms:created>
  <dc:creator>Admin</dc:creator>
</cp:coreProperties>
</file>